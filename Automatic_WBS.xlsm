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3ae0772ddaa49f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Neue Artikel\PSP v06\Code\"/>
    </mc:Choice>
  </mc:AlternateContent>
  <xr:revisionPtr revIDLastSave="0" documentId="13_ncr:1_{F81F573F-6A8E-4CD8-9929-07C7B5F71F4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ort" sheetId="7" r:id="rId1"/>
    <sheet name="Start" sheetId="1" r:id="rId2"/>
    <sheet name="Setup" sheetId="4" r:id="rId3"/>
    <sheet name="PSP" sheetId="9" r:id="rId4"/>
  </sheets>
  <functionGroups builtInGroupCount="19"/>
  <definedNames>
    <definedName name="_xlnm._FilterDatabase" localSheetId="1" hidden="1">Start!$A$4:$M$35</definedName>
    <definedName name="FORMAT_COMPLETED">Setup!$B$40</definedName>
    <definedName name="FORMAT_IN_PROGRESS">Setup!$B$38</definedName>
    <definedName name="FORMAT_NOT_STARTED">Setup!$B$36</definedName>
    <definedName name="LEVEL0_SPACE_Y">Setup!$D$8</definedName>
    <definedName name="LEVEL1_SPACE_X">Setup!$I$17</definedName>
    <definedName name="LEVEL3_SPACE_X">Setup!$B$18</definedName>
    <definedName name="LEVEL3_SPACE_Y">Setup!$E$13</definedName>
    <definedName name="PROGRESS_COLORS">Setup!$B$33</definedName>
    <definedName name="PROGRESS_COMPLETED">Setup!$E$40</definedName>
    <definedName name="PROGRESS_IN_PROGRESS">Setup!$E$38</definedName>
    <definedName name="PROGRESS_NOT_STARTED">Setup!$E$36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7" l="1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</calcChain>
</file>

<file path=xl/sharedStrings.xml><?xml version="1.0" encoding="utf-8"?>
<sst xmlns="http://schemas.openxmlformats.org/spreadsheetml/2006/main" count="277" uniqueCount="199">
  <si>
    <t>Name</t>
  </si>
  <si>
    <t>1.2</t>
  </si>
  <si>
    <t>1.3</t>
  </si>
  <si>
    <t>1.4</t>
  </si>
  <si>
    <t>Abschluss</t>
  </si>
  <si>
    <t>1.5</t>
  </si>
  <si>
    <t>1.2.1</t>
  </si>
  <si>
    <t>1.2.2</t>
  </si>
  <si>
    <t>1.2.3</t>
  </si>
  <si>
    <t>1.3.1</t>
  </si>
  <si>
    <t>1.3.2</t>
  </si>
  <si>
    <t>1.4.1</t>
  </si>
  <si>
    <t>1.4.2</t>
  </si>
  <si>
    <t>1.4.3</t>
  </si>
  <si>
    <t>1.5.1</t>
  </si>
  <si>
    <t>1.5.2</t>
  </si>
  <si>
    <t>Lessons learned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</si>
  <si>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</si>
  <si>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</si>
  <si>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</si>
  <si>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</si>
  <si>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</si>
  <si>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</si>
  <si>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</si>
  <si>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</si>
  <si>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</si>
  <si>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</si>
  <si>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</si>
  <si>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</si>
  <si>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</si>
  <si>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</si>
  <si>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</si>
  <si>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</si>
  <si>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</si>
  <si>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</si>
  <si>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</si>
  <si>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</si>
  <si>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</si>
  <si>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</si>
  <si>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</si>
  <si>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</si>
  <si>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</si>
  <si>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</si>
  <si>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</si>
  <si>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</si>
  <si>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</si>
  <si>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Hier können Sie auch die Beschriftung jedes Kästchens festlegen.</t>
  </si>
  <si>
    <t>Mehr Informationen unter:</t>
  </si>
  <si>
    <t>More information:</t>
  </si>
  <si>
    <t>2</t>
  </si>
  <si>
    <t>3</t>
  </si>
  <si>
    <t>3.1</t>
  </si>
  <si>
    <t>3.2</t>
  </si>
  <si>
    <t>4</t>
  </si>
  <si>
    <t>4.1</t>
  </si>
  <si>
    <t>4.2</t>
  </si>
  <si>
    <t>4.3</t>
  </si>
  <si>
    <t>5</t>
  </si>
  <si>
    <t>5.1</t>
  </si>
  <si>
    <t>5.2</t>
  </si>
  <si>
    <t>1.5.3</t>
  </si>
  <si>
    <t>Verantwortlich</t>
  </si>
  <si>
    <t>Start</t>
  </si>
  <si>
    <t>5.3</t>
  </si>
  <si>
    <t>Fortschritt für Farbgebung verwenden</t>
  </si>
  <si>
    <t>Use progress for colors</t>
  </si>
  <si>
    <t xml:space="preserve">J = Ja / yes </t>
  </si>
  <si>
    <t>PSP</t>
  </si>
  <si>
    <t>F6</t>
  </si>
  <si>
    <t>F7</t>
  </si>
  <si>
    <t>F8</t>
  </si>
  <si>
    <t>F9</t>
  </si>
  <si>
    <t>F10</t>
  </si>
  <si>
    <t>Projektstrukturplan / Work breakdown structure</t>
  </si>
  <si>
    <t>Farbe / Color</t>
  </si>
  <si>
    <t>Text PROGRESS</t>
  </si>
  <si>
    <t>$PROGRESS ($F6 h / $F7 h)
Ende gepl. $F4 real. $F5</t>
  </si>
  <si>
    <t>$PROGRESS ($F6 h)
Start gepl. $F2</t>
  </si>
  <si>
    <t>$PROGRESS ($F6 h / $F7 h)
Start real. $F3 Ende gepl. $F4</t>
  </si>
  <si>
    <t>nicht begonnen / not started 
(PROGRESS = 0)</t>
  </si>
  <si>
    <t>in Bearbeitung / in progress 
(0 &gt; PROGRESS &gt; 100%)</t>
  </si>
  <si>
    <t>abgeschlossen / completed 
(PROGRESS = 100%)</t>
  </si>
  <si>
    <t>Projekt: Neuer Montage-Arbeitsplatz</t>
  </si>
  <si>
    <t>Projekt-Management</t>
  </si>
  <si>
    <t>Mon 20.01.20</t>
  </si>
  <si>
    <t xml:space="preserve">   Datenablage</t>
  </si>
  <si>
    <t>2.1</t>
  </si>
  <si>
    <t xml:space="preserve">   Controlling</t>
  </si>
  <si>
    <t>2.2</t>
  </si>
  <si>
    <t xml:space="preserve">   Marketing</t>
  </si>
  <si>
    <t>2.3</t>
  </si>
  <si>
    <t>Initialisierung</t>
  </si>
  <si>
    <t>Mon 03.02.20</t>
  </si>
  <si>
    <t>Tue 04.02.20</t>
  </si>
  <si>
    <t xml:space="preserve">   Definition</t>
  </si>
  <si>
    <t xml:space="preserve">   Ziele</t>
  </si>
  <si>
    <t>Planung</t>
  </si>
  <si>
    <t>Wed 05.02.20</t>
  </si>
  <si>
    <t>Mon 27.04.20</t>
  </si>
  <si>
    <t xml:space="preserve">   Arbeitsablauf</t>
  </si>
  <si>
    <t>Tue 11.02.20</t>
  </si>
  <si>
    <t xml:space="preserve">   Arbeitsplatzgestaltung</t>
  </si>
  <si>
    <t>Wed 12.02.20</t>
  </si>
  <si>
    <t>Tue 25.02.20</t>
  </si>
  <si>
    <t xml:space="preserve">   Lieferantensuche</t>
  </si>
  <si>
    <t>Wed 26.02.20</t>
  </si>
  <si>
    <t>1.4.3.1</t>
  </si>
  <si>
    <t xml:space="preserve">      Lastenheft</t>
  </si>
  <si>
    <t>4.3.1</t>
  </si>
  <si>
    <t>Thu 27.02.20</t>
  </si>
  <si>
    <t>1.4.3.2</t>
  </si>
  <si>
    <t xml:space="preserve">      Anfragen</t>
  </si>
  <si>
    <t>4.3.2</t>
  </si>
  <si>
    <t>Fri 28.02.20</t>
  </si>
  <si>
    <t>Thu 23.04.20</t>
  </si>
  <si>
    <t>1.4.3.3</t>
  </si>
  <si>
    <t xml:space="preserve">      Vergleich</t>
  </si>
  <si>
    <t>4.3.3</t>
  </si>
  <si>
    <t>Fri 24.04.20</t>
  </si>
  <si>
    <t>Realisierung</t>
  </si>
  <si>
    <t>Tue 28.04.20</t>
  </si>
  <si>
    <t>Tue 19.05.20</t>
  </si>
  <si>
    <t xml:space="preserve">   Bestellung Komponenten</t>
  </si>
  <si>
    <t>Wed 29.04.20</t>
  </si>
  <si>
    <t xml:space="preserve">   Aufbau</t>
  </si>
  <si>
    <t>Thu 30.04.20</t>
  </si>
  <si>
    <t>Thu 07.05.20</t>
  </si>
  <si>
    <t xml:space="preserve">   Testbetrieb</t>
  </si>
  <si>
    <t>Fri 08.05.20</t>
  </si>
  <si>
    <t>Thu 14.05.20</t>
  </si>
  <si>
    <t>1.5.4</t>
  </si>
  <si>
    <t xml:space="preserve">   Optimierung</t>
  </si>
  <si>
    <t>5.4</t>
  </si>
  <si>
    <t>Fri 15.05.20</t>
  </si>
  <si>
    <t>1.6</t>
  </si>
  <si>
    <t>6</t>
  </si>
  <si>
    <t>Wed 20.05.20</t>
  </si>
  <si>
    <t>Thu 21.05.20</t>
  </si>
  <si>
    <t>1.6.1</t>
  </si>
  <si>
    <t xml:space="preserve">   Lessons learned</t>
  </si>
  <si>
    <t>6.1</t>
  </si>
  <si>
    <t>1.6.2</t>
  </si>
  <si>
    <t xml:space="preserve">   Abschlussbericht</t>
  </si>
  <si>
    <t>6.2</t>
  </si>
  <si>
    <t>Neuer Montage-Arbeitsplatz</t>
  </si>
  <si>
    <t>Task Name</t>
  </si>
  <si>
    <t>progress</t>
  </si>
  <si>
    <t>WBS</t>
  </si>
  <si>
    <t>Finish</t>
  </si>
  <si>
    <t>Ende
geplant</t>
  </si>
  <si>
    <t>Ende 
realisiert</t>
  </si>
  <si>
    <t>Aufwand
geplant</t>
  </si>
  <si>
    <t>Aufwand
realisiert</t>
  </si>
  <si>
    <t>Start 
geplant</t>
  </si>
  <si>
    <t>Start 
realisiert</t>
  </si>
  <si>
    <t>Datenablage</t>
  </si>
  <si>
    <t>Controlling</t>
  </si>
  <si>
    <t>Marketing</t>
  </si>
  <si>
    <t>Definition</t>
  </si>
  <si>
    <t>Ziele</t>
  </si>
  <si>
    <t>Arbeitsablauf</t>
  </si>
  <si>
    <t>Arbeitsplatzgestaltung</t>
  </si>
  <si>
    <t>Lieferantensuche</t>
  </si>
  <si>
    <t>Lastenheft</t>
  </si>
  <si>
    <t>Anfragen</t>
  </si>
  <si>
    <t>Vergleich</t>
  </si>
  <si>
    <t>Bestellung Komponenten</t>
  </si>
  <si>
    <t>Aufbau</t>
  </si>
  <si>
    <t>Testbetrieb</t>
  </si>
  <si>
    <t>Optimierung</t>
  </si>
  <si>
    <t>Abschlussbericht</t>
  </si>
  <si>
    <t>Beispiel in Deutsch</t>
  </si>
  <si>
    <t>New assembly workplace</t>
  </si>
  <si>
    <t>Project management</t>
  </si>
  <si>
    <t>Data storage</t>
  </si>
  <si>
    <t>Initialization</t>
  </si>
  <si>
    <t>Aims</t>
  </si>
  <si>
    <t>Planning</t>
  </si>
  <si>
    <t>Work prozess</t>
  </si>
  <si>
    <t>Workplace design</t>
  </si>
  <si>
    <t>Search of suppliers</t>
  </si>
  <si>
    <t>Requirements specification</t>
  </si>
  <si>
    <t>Requests</t>
  </si>
  <si>
    <t>Comparison</t>
  </si>
  <si>
    <t>Realization</t>
  </si>
  <si>
    <t>Order of components</t>
  </si>
  <si>
    <t>Installation</t>
  </si>
  <si>
    <t>Test phase</t>
  </si>
  <si>
    <t>Optimization</t>
  </si>
  <si>
    <t>Closing</t>
  </si>
  <si>
    <t>Final report</t>
  </si>
  <si>
    <t>N</t>
  </si>
  <si>
    <t>1.1</t>
  </si>
  <si>
    <t>1.1.1</t>
  </si>
  <si>
    <t>1.1.3</t>
  </si>
  <si>
    <t>1.1.2</t>
  </si>
  <si>
    <t>Stakeholders</t>
  </si>
  <si>
    <t>https://techpluscode.de/tag/PSP/</t>
  </si>
  <si>
    <t>https://techpluscode.de/tag/WBS/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</si>
</sst>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DM&quot;_-;\-* #,##0.00\ &quot;DM&quot;_-;_-* &quot;-&quot;??\ &quot;DM&quot;_-;_-@_-"/>
    <numFmt numFmtId="165" formatCode="d/m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6363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8" fillId="0" borderId="0"/>
  </cellStyleXfs>
  <cellXfs count="62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 applyFill="1"/>
    <xf numFmtId="49" fontId="4" fillId="0" borderId="0" xfId="0" applyNumberFormat="1" applyFont="1" applyFill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Fill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0" fontId="6" fillId="3" borderId="0" xfId="2" applyFill="1" applyAlignment="1">
      <alignment vertical="top"/>
    </xf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9" fontId="4" fillId="4" borderId="1" xfId="1" applyFont="1" applyFill="1" applyBorder="1" applyAlignment="1">
      <alignment vertical="top"/>
    </xf>
    <xf numFmtId="9" fontId="4" fillId="5" borderId="1" xfId="1" applyFont="1" applyFill="1" applyBorder="1" applyAlignment="1">
      <alignment vertical="top"/>
    </xf>
    <xf numFmtId="9" fontId="4" fillId="6" borderId="1" xfId="1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10" fontId="4" fillId="3" borderId="0" xfId="1" applyNumberFormat="1" applyFont="1" applyFill="1"/>
    <xf numFmtId="10" fontId="3" fillId="2" borderId="0" xfId="1" applyNumberFormat="1" applyFont="1" applyFill="1"/>
    <xf numFmtId="10" fontId="4" fillId="0" borderId="0" xfId="1" applyNumberFormat="1" applyFont="1" applyFill="1"/>
    <xf numFmtId="49" fontId="5" fillId="0" borderId="0" xfId="0" applyNumberFormat="1" applyFont="1" applyFill="1" applyAlignment="1">
      <alignment vertical="top"/>
    </xf>
    <xf numFmtId="0" fontId="4" fillId="3" borderId="0" xfId="0" applyFont="1" applyFill="1" applyAlignment="1">
      <alignment vertical="top" wrapText="1"/>
    </xf>
    <xf numFmtId="0" fontId="4" fillId="3" borderId="0" xfId="1" applyNumberFormat="1" applyFont="1" applyFill="1"/>
    <xf numFmtId="0" fontId="4" fillId="3" borderId="0" xfId="0" applyNumberFormat="1" applyFont="1" applyFill="1" applyAlignment="1">
      <alignment horizontal="left" vertical="center"/>
    </xf>
    <xf numFmtId="0" fontId="3" fillId="2" borderId="0" xfId="0" applyNumberFormat="1" applyFont="1" applyFill="1"/>
    <xf numFmtId="0" fontId="4" fillId="0" borderId="0" xfId="1" applyNumberFormat="1" applyFont="1" applyFill="1"/>
    <xf numFmtId="0" fontId="4" fillId="0" borderId="0" xfId="0" applyNumberFormat="1" applyFont="1" applyFill="1"/>
    <xf numFmtId="165" fontId="4" fillId="3" borderId="0" xfId="1" applyNumberFormat="1" applyFont="1" applyFill="1"/>
    <xf numFmtId="165" fontId="3" fillId="2" borderId="0" xfId="0" applyNumberFormat="1" applyFont="1" applyFill="1"/>
    <xf numFmtId="165" fontId="4" fillId="0" borderId="0" xfId="1" applyNumberFormat="1" applyFont="1" applyFill="1"/>
    <xf numFmtId="0" fontId="9" fillId="9" borderId="4" xfId="0" applyFont="1" applyFill="1" applyBorder="1" applyAlignment="1">
      <alignment vertical="center" wrapText="1"/>
    </xf>
    <xf numFmtId="49" fontId="9" fillId="9" borderId="4" xfId="0" applyNumberFormat="1" applyFont="1" applyFill="1" applyBorder="1" applyAlignment="1">
      <alignment vertical="center" wrapText="1"/>
    </xf>
    <xf numFmtId="0" fontId="10" fillId="9" borderId="4" xfId="0" applyFont="1" applyFill="1" applyBorder="1" applyAlignment="1">
      <alignment vertical="center" wrapText="1"/>
    </xf>
    <xf numFmtId="49" fontId="10" fillId="9" borderId="4" xfId="0" applyNumberFormat="1" applyFont="1" applyFill="1" applyBorder="1" applyAlignment="1">
      <alignment vertical="center" wrapText="1"/>
    </xf>
    <xf numFmtId="0" fontId="9" fillId="9" borderId="0" xfId="0" applyFont="1" applyFill="1" applyAlignment="1">
      <alignment vertical="center" wrapText="1"/>
    </xf>
    <xf numFmtId="49" fontId="9" fillId="9" borderId="0" xfId="0" applyNumberFormat="1" applyFont="1" applyFill="1" applyAlignment="1">
      <alignment vertical="center" wrapText="1"/>
    </xf>
    <xf numFmtId="165" fontId="4" fillId="3" borderId="0" xfId="0" applyNumberFormat="1" applyFont="1" applyFill="1" applyAlignment="1">
      <alignment horizontal="left" vertical="center" wrapText="1"/>
    </xf>
    <xf numFmtId="0" fontId="4" fillId="3" borderId="0" xfId="0" applyNumberFormat="1" applyFont="1" applyFill="1" applyAlignment="1">
      <alignment horizontal="left" vertical="center" wrapText="1"/>
    </xf>
    <xf numFmtId="0" fontId="0" fillId="0" borderId="0" xfId="0" applyFont="1"/>
    <xf numFmtId="0" fontId="11" fillId="8" borderId="4" xfId="0" applyFont="1" applyFill="1" applyBorder="1" applyAlignment="1">
      <alignment vertical="center" wrapText="1"/>
    </xf>
    <xf numFmtId="49" fontId="11" fillId="8" borderId="4" xfId="0" applyNumberFormat="1" applyFont="1" applyFill="1" applyBorder="1" applyAlignment="1">
      <alignment vertical="center" wrapText="1"/>
    </xf>
    <xf numFmtId="0" fontId="0" fillId="9" borderId="4" xfId="0" applyFont="1" applyFill="1" applyBorder="1" applyAlignment="1">
      <alignment vertical="center" wrapText="1"/>
    </xf>
    <xf numFmtId="49" fontId="0" fillId="9" borderId="4" xfId="0" applyNumberFormat="1" applyFont="1" applyFill="1" applyBorder="1" applyAlignment="1">
      <alignment vertical="center" wrapText="1"/>
    </xf>
    <xf numFmtId="0" fontId="0" fillId="0" borderId="4" xfId="0" applyFont="1" applyBorder="1"/>
    <xf numFmtId="49" fontId="0" fillId="0" borderId="4" xfId="0" applyNumberFormat="1" applyFont="1" applyBorder="1"/>
    <xf numFmtId="49" fontId="0" fillId="0" borderId="0" xfId="0" applyNumberFormat="1" applyFont="1"/>
    <xf numFmtId="49" fontId="3" fillId="0" borderId="0" xfId="0" applyNumberFormat="1" applyFont="1" applyFill="1"/>
    <xf numFmtId="49" fontId="4" fillId="3" borderId="0" xfId="0" applyNumberFormat="1" applyFont="1" applyFill="1" applyAlignment="1">
      <alignment horizontal="left" vertical="center"/>
    </xf>
    <xf numFmtId="49" fontId="4" fillId="3" borderId="0" xfId="1" applyNumberFormat="1" applyFont="1" applyFill="1"/>
    <xf numFmtId="49" fontId="4" fillId="0" borderId="0" xfId="0" applyNumberFormat="1" applyFont="1" applyFill="1" applyAlignment="1">
      <alignment horizontal="left"/>
    </xf>
    <xf numFmtId="49" fontId="4" fillId="0" borderId="0" xfId="1" applyNumberFormat="1" applyFont="1" applyFill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49" fontId="4" fillId="0" borderId="2" xfId="0" applyNumberFormat="1" applyFont="1" applyFill="1" applyBorder="1" applyAlignment="1">
      <alignment horizontal="center" vertical="top" wrapText="1"/>
    </xf>
    <xf numFmtId="49" fontId="4" fillId="0" borderId="3" xfId="0" applyNumberFormat="1" applyFont="1" applyFill="1" applyBorder="1" applyAlignment="1">
      <alignment horizontal="center" vertical="top" wrapText="1"/>
    </xf>
  </cellXfs>
  <cellStyles count="6">
    <cellStyle name="Link" xfId="2" builtinId="8"/>
    <cellStyle name="Prozent" xfId="1" builtinId="5"/>
    <cellStyle name="Standard" xfId="0" builtinId="0"/>
    <cellStyle name="Standard 2" xfId="3" xr:uid="{00000000-0005-0000-0000-000003000000}"/>
    <cellStyle name="Standard 3" xfId="5" xr:uid="{00000000-0005-0000-0000-000004000000}"/>
    <cellStyle name="Währung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312421</xdr:colOff>
      <xdr:row>1</xdr:row>
      <xdr:rowOff>76199</xdr:rowOff>
    </xdr:from>
    <xdr:to>
      <xdr:col>5</xdr:col>
      <xdr:colOff>9526</xdr:colOff>
      <xdr:row>6</xdr:row>
      <xdr:rowOff>7619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3246" y="333374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Projekt:</a:t>
          </a:r>
        </a:p>
        <a:p>
          <a:pPr algn="ctr"/>
          <a:r>
            <a:rPr lang="de-DE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$</a:t>
          </a:r>
          <a:r>
            <a:rPr lang="de-DE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NAME </a:t>
          </a:r>
          <a:endParaRPr lang="de-DE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47624</xdr:colOff>
      <xdr:row>7</xdr:row>
      <xdr:rowOff>152400</xdr:rowOff>
    </xdr:from>
    <xdr:to>
      <xdr:col>2</xdr:col>
      <xdr:colOff>19049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33549" y="143827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$F1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476250</xdr:colOff>
      <xdr:row>16</xdr:row>
      <xdr:rowOff>22860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38400" y="2270760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</a:t>
          </a:r>
          <a:r>
            <a:rPr lang="de-DE" sz="800" b="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$</a:t>
          </a:r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NAME</a:t>
          </a:r>
        </a:p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$PROGRESS</a:t>
          </a:r>
        </a:p>
      </xdr:txBody>
    </xdr:sp>
    <xdr:clientData/>
  </xdr:twoCellAnchor>
  <xdr:twoCellAnchor>
    <xdr:from>
      <xdr:col>1</xdr:col>
      <xdr:colOff>823912</xdr:colOff>
      <xdr:row>6</xdr:row>
      <xdr:rowOff>7620</xdr:rowOff>
    </xdr:from>
    <xdr:to>
      <xdr:col>3</xdr:col>
      <xdr:colOff>546736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394234" y="247173"/>
          <a:ext cx="306706" cy="2075499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546736</xdr:colOff>
      <xdr:row>6</xdr:row>
      <xdr:rowOff>7618</xdr:rowOff>
    </xdr:from>
    <xdr:to>
      <xdr:col>7</xdr:col>
      <xdr:colOff>694373</xdr:colOff>
      <xdr:row>8</xdr:row>
      <xdr:rowOff>7619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564029" y="-323375"/>
          <a:ext cx="323851" cy="3233737"/>
        </a:xfrm>
        <a:prstGeom prst="bentConnector3">
          <a:avLst>
            <a:gd name="adj1" fmla="val 50000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514922</xdr:colOff>
      <xdr:row>3</xdr:row>
      <xdr:rowOff>160020</xdr:rowOff>
    </xdr:from>
    <xdr:to>
      <xdr:col>9</xdr:col>
      <xdr:colOff>240602</xdr:colOff>
      <xdr:row>8</xdr:row>
      <xdr:rowOff>5715</xdr:rowOff>
    </xdr:to>
    <xdr:sp macro="" textlink="">
      <xdr:nvSpPr>
        <xdr:cNvPr id="11591" name="N_1">
          <a:extLst>
            <a:ext uri="{FF2B5EF4-FFF2-40B4-BE49-F238E27FC236}">
              <a16:creationId xmlns:a16="http://schemas.microsoft.com/office/drawing/2014/main" id="{E635FFD2-FD25-4F8A-B35D-49B7FB555942}"/>
            </a:ext>
          </a:extLst>
        </xdr:cNvPr>
        <xdr:cNvSpPr/>
      </xdr:nvSpPr>
      <xdr:spPr>
        <a:xfrm>
          <a:off x="5086922" y="798195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Projekt:
New assembly workplace </a:t>
          </a:r>
        </a:p>
      </xdr:txBody>
    </xdr:sp>
    <xdr:clientData/>
  </xdr:twoCellAnchor>
  <xdr:twoCellAnchor>
    <xdr:from>
      <xdr:col>0</xdr:col>
      <xdr:colOff>0</xdr:colOff>
      <xdr:row>10</xdr:row>
      <xdr:rowOff>60960</xdr:rowOff>
    </xdr:from>
    <xdr:to>
      <xdr:col>2</xdr:col>
      <xdr:colOff>28575</xdr:colOff>
      <xdr:row>13</xdr:row>
      <xdr:rowOff>106680</xdr:rowOff>
    </xdr:to>
    <xdr:sp macro="" textlink="">
      <xdr:nvSpPr>
        <xdr:cNvPr id="11592" name="N_1.1">
          <a:extLst>
            <a:ext uri="{FF2B5EF4-FFF2-40B4-BE49-F238E27FC236}">
              <a16:creationId xmlns:a16="http://schemas.microsoft.com/office/drawing/2014/main" id="{99EF323B-8051-4010-8E91-D6A71F368215}"/>
            </a:ext>
          </a:extLst>
        </xdr:cNvPr>
        <xdr:cNvSpPr/>
      </xdr:nvSpPr>
      <xdr:spPr>
        <a:xfrm>
          <a:off x="0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Project management</a:t>
          </a:r>
        </a:p>
      </xdr:txBody>
    </xdr:sp>
    <xdr:clientData/>
  </xdr:twoCellAnchor>
  <xdr:twoCellAnchor>
    <xdr:from>
      <xdr:col>1</xdr:col>
      <xdr:colOff>14289</xdr:colOff>
      <xdr:row>8</xdr:row>
      <xdr:rowOff>5714</xdr:rowOff>
    </xdr:from>
    <xdr:to>
      <xdr:col>7</xdr:col>
      <xdr:colOff>758763</xdr:colOff>
      <xdr:row>10</xdr:row>
      <xdr:rowOff>60959</xdr:rowOff>
    </xdr:to>
    <xdr:cxnSp macro="">
      <xdr:nvCxnSpPr>
        <xdr:cNvPr id="11593" name="N_1_1.1">
          <a:extLst>
            <a:ext uri="{FF2B5EF4-FFF2-40B4-BE49-F238E27FC236}">
              <a16:creationId xmlns:a16="http://schemas.microsoft.com/office/drawing/2014/main" id="{5344C377-7E31-4EA9-995C-69EFB4D8D1BD}"/>
            </a:ext>
          </a:extLst>
        </xdr:cNvPr>
        <xdr:cNvCxnSpPr>
          <a:stCxn id="11591" idx="2"/>
          <a:endCxn id="11592" idx="0"/>
        </xdr:cNvCxnSpPr>
      </xdr:nvCxnSpPr>
      <xdr:spPr>
        <a:xfrm rot="5400000">
          <a:off x="3216403" y="-843725"/>
          <a:ext cx="436245" cy="531647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14</xdr:row>
      <xdr:rowOff>39624</xdr:rowOff>
    </xdr:from>
    <xdr:to>
      <xdr:col>2</xdr:col>
      <xdr:colOff>713994</xdr:colOff>
      <xdr:row>17</xdr:row>
      <xdr:rowOff>9144</xdr:rowOff>
    </xdr:to>
    <xdr:sp macro="" textlink="">
      <xdr:nvSpPr>
        <xdr:cNvPr id="11594" name="N_1.1.1">
          <a:extLst>
            <a:ext uri="{FF2B5EF4-FFF2-40B4-BE49-F238E27FC236}">
              <a16:creationId xmlns:a16="http://schemas.microsoft.com/office/drawing/2014/main" id="{FB37280A-8DBE-4BEE-A914-4B6C4685CD30}"/>
            </a:ext>
          </a:extLst>
        </xdr:cNvPr>
        <xdr:cNvSpPr/>
      </xdr:nvSpPr>
      <xdr:spPr>
        <a:xfrm>
          <a:off x="881634" y="2773299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1.1 Data storage
100%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15</xdr:row>
      <xdr:rowOff>119634</xdr:rowOff>
    </xdr:to>
    <xdr:cxnSp macro="">
      <xdr:nvCxnSpPr>
        <xdr:cNvPr id="11595" name="N_1.1_1.1.1">
          <a:extLst>
            <a:ext uri="{FF2B5EF4-FFF2-40B4-BE49-F238E27FC236}">
              <a16:creationId xmlns:a16="http://schemas.microsoft.com/office/drawing/2014/main" id="{911E4386-4E07-457B-87DF-638A2A564460}"/>
            </a:ext>
          </a:extLst>
        </xdr:cNvPr>
        <xdr:cNvCxnSpPr>
          <a:stCxn id="11592" idx="2"/>
          <a:endCxn id="11594" idx="1"/>
        </xdr:cNvCxnSpPr>
      </xdr:nvCxnSpPr>
      <xdr:spPr>
        <a:xfrm rot="16200000" flipH="1">
          <a:off x="631984" y="2794159"/>
          <a:ext cx="393954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17</xdr:row>
      <xdr:rowOff>117348</xdr:rowOff>
    </xdr:from>
    <xdr:to>
      <xdr:col>2</xdr:col>
      <xdr:colOff>713994</xdr:colOff>
      <xdr:row>20</xdr:row>
      <xdr:rowOff>86868</xdr:rowOff>
    </xdr:to>
    <xdr:sp macro="" textlink="">
      <xdr:nvSpPr>
        <xdr:cNvPr id="11596" name="N_1.1.2">
          <a:extLst>
            <a:ext uri="{FF2B5EF4-FFF2-40B4-BE49-F238E27FC236}">
              <a16:creationId xmlns:a16="http://schemas.microsoft.com/office/drawing/2014/main" id="{01C08D39-B471-45F9-9F87-49E751D04C41}"/>
            </a:ext>
          </a:extLst>
        </xdr:cNvPr>
        <xdr:cNvSpPr/>
      </xdr:nvSpPr>
      <xdr:spPr>
        <a:xfrm>
          <a:off x="881634" y="3422523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1.2 Controlling
50%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19</xdr:row>
      <xdr:rowOff>6858</xdr:rowOff>
    </xdr:to>
    <xdr:cxnSp macro="">
      <xdr:nvCxnSpPr>
        <xdr:cNvPr id="11597" name="N_1.1_1.1.2">
          <a:extLst>
            <a:ext uri="{FF2B5EF4-FFF2-40B4-BE49-F238E27FC236}">
              <a16:creationId xmlns:a16="http://schemas.microsoft.com/office/drawing/2014/main" id="{766F3A06-5ABC-484C-91FB-161D5F6209D7}"/>
            </a:ext>
          </a:extLst>
        </xdr:cNvPr>
        <xdr:cNvCxnSpPr>
          <a:stCxn id="11592" idx="2"/>
          <a:endCxn id="11596" idx="1"/>
        </xdr:cNvCxnSpPr>
      </xdr:nvCxnSpPr>
      <xdr:spPr>
        <a:xfrm rot="16200000" flipH="1">
          <a:off x="307372" y="3118771"/>
          <a:ext cx="1043178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21</xdr:row>
      <xdr:rowOff>4572</xdr:rowOff>
    </xdr:from>
    <xdr:to>
      <xdr:col>2</xdr:col>
      <xdr:colOff>713994</xdr:colOff>
      <xdr:row>23</xdr:row>
      <xdr:rowOff>164592</xdr:rowOff>
    </xdr:to>
    <xdr:sp macro="" textlink="">
      <xdr:nvSpPr>
        <xdr:cNvPr id="11598" name="N_1.1.3">
          <a:extLst>
            <a:ext uri="{FF2B5EF4-FFF2-40B4-BE49-F238E27FC236}">
              <a16:creationId xmlns:a16="http://schemas.microsoft.com/office/drawing/2014/main" id="{BFC09A7D-C85E-4EBA-940B-3D67EA0E36EC}"/>
            </a:ext>
          </a:extLst>
        </xdr:cNvPr>
        <xdr:cNvSpPr/>
      </xdr:nvSpPr>
      <xdr:spPr>
        <a:xfrm>
          <a:off x="881634" y="4071747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1.3 Marketing
50%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22</xdr:row>
      <xdr:rowOff>84582</xdr:rowOff>
    </xdr:to>
    <xdr:cxnSp macro="">
      <xdr:nvCxnSpPr>
        <xdr:cNvPr id="11599" name="N_1.1_1.1.3">
          <a:extLst>
            <a:ext uri="{FF2B5EF4-FFF2-40B4-BE49-F238E27FC236}">
              <a16:creationId xmlns:a16="http://schemas.microsoft.com/office/drawing/2014/main" id="{A5FA1753-9BDD-4695-B5B6-B78961F27766}"/>
            </a:ext>
          </a:extLst>
        </xdr:cNvPr>
        <xdr:cNvCxnSpPr>
          <a:stCxn id="11592" idx="2"/>
          <a:endCxn id="11598" idx="1"/>
        </xdr:cNvCxnSpPr>
      </xdr:nvCxnSpPr>
      <xdr:spPr>
        <a:xfrm rot="16200000" flipH="1">
          <a:off x="-17240" y="3443383"/>
          <a:ext cx="1692402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289179</xdr:colOff>
      <xdr:row>10</xdr:row>
      <xdr:rowOff>60960</xdr:rowOff>
    </xdr:from>
    <xdr:to>
      <xdr:col>4</xdr:col>
      <xdr:colOff>317754</xdr:colOff>
      <xdr:row>13</xdr:row>
      <xdr:rowOff>106680</xdr:rowOff>
    </xdr:to>
    <xdr:sp macro="" textlink="">
      <xdr:nvSpPr>
        <xdr:cNvPr id="11600" name="N_1.2">
          <a:extLst>
            <a:ext uri="{FF2B5EF4-FFF2-40B4-BE49-F238E27FC236}">
              <a16:creationId xmlns:a16="http://schemas.microsoft.com/office/drawing/2014/main" id="{13DB36C6-5502-43EF-9753-7B4F2B342643}"/>
            </a:ext>
          </a:extLst>
        </xdr:cNvPr>
        <xdr:cNvSpPr/>
      </xdr:nvSpPr>
      <xdr:spPr>
        <a:xfrm>
          <a:off x="1813179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Initialization</a:t>
          </a:r>
        </a:p>
      </xdr:txBody>
    </xdr:sp>
    <xdr:clientData/>
  </xdr:twoCellAnchor>
  <xdr:twoCellAnchor>
    <xdr:from>
      <xdr:col>3</xdr:col>
      <xdr:colOff>303468</xdr:colOff>
      <xdr:row>8</xdr:row>
      <xdr:rowOff>5715</xdr:rowOff>
    </xdr:from>
    <xdr:to>
      <xdr:col>7</xdr:col>
      <xdr:colOff>758763</xdr:colOff>
      <xdr:row>10</xdr:row>
      <xdr:rowOff>60960</xdr:rowOff>
    </xdr:to>
    <xdr:cxnSp macro="">
      <xdr:nvCxnSpPr>
        <xdr:cNvPr id="11601" name="N_1_1.2">
          <a:extLst>
            <a:ext uri="{FF2B5EF4-FFF2-40B4-BE49-F238E27FC236}">
              <a16:creationId xmlns:a16="http://schemas.microsoft.com/office/drawing/2014/main" id="{06987AF8-7749-424E-A29C-2491660F7100}"/>
            </a:ext>
          </a:extLst>
        </xdr:cNvPr>
        <xdr:cNvCxnSpPr>
          <a:stCxn id="11591" idx="2"/>
          <a:endCxn id="11600" idx="0"/>
        </xdr:cNvCxnSpPr>
      </xdr:nvCxnSpPr>
      <xdr:spPr>
        <a:xfrm rot="5400000">
          <a:off x="4122993" y="62865"/>
          <a:ext cx="436245" cy="3503295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578358</xdr:colOff>
      <xdr:row>10</xdr:row>
      <xdr:rowOff>60960</xdr:rowOff>
    </xdr:from>
    <xdr:to>
      <xdr:col>6</xdr:col>
      <xdr:colOff>606933</xdr:colOff>
      <xdr:row>13</xdr:row>
      <xdr:rowOff>106680</xdr:rowOff>
    </xdr:to>
    <xdr:sp macro="" textlink="">
      <xdr:nvSpPr>
        <xdr:cNvPr id="11602" name="N_1.3">
          <a:extLst>
            <a:ext uri="{FF2B5EF4-FFF2-40B4-BE49-F238E27FC236}">
              <a16:creationId xmlns:a16="http://schemas.microsoft.com/office/drawing/2014/main" id="{C55887F8-964E-4A87-949A-1EA81CF9B94B}"/>
            </a:ext>
          </a:extLst>
        </xdr:cNvPr>
        <xdr:cNvSpPr/>
      </xdr:nvSpPr>
      <xdr:spPr>
        <a:xfrm>
          <a:off x="3626358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Definition</a:t>
          </a:r>
        </a:p>
      </xdr:txBody>
    </xdr:sp>
    <xdr:clientData/>
  </xdr:twoCellAnchor>
  <xdr:twoCellAnchor>
    <xdr:from>
      <xdr:col>5</xdr:col>
      <xdr:colOff>592647</xdr:colOff>
      <xdr:row>8</xdr:row>
      <xdr:rowOff>5714</xdr:rowOff>
    </xdr:from>
    <xdr:to>
      <xdr:col>7</xdr:col>
      <xdr:colOff>758763</xdr:colOff>
      <xdr:row>10</xdr:row>
      <xdr:rowOff>60959</xdr:rowOff>
    </xdr:to>
    <xdr:cxnSp macro="">
      <xdr:nvCxnSpPr>
        <xdr:cNvPr id="11603" name="N_1_1.3">
          <a:extLst>
            <a:ext uri="{FF2B5EF4-FFF2-40B4-BE49-F238E27FC236}">
              <a16:creationId xmlns:a16="http://schemas.microsoft.com/office/drawing/2014/main" id="{744E5397-71B0-4804-859E-5C0857C4125C}"/>
            </a:ext>
          </a:extLst>
        </xdr:cNvPr>
        <xdr:cNvCxnSpPr>
          <a:stCxn id="11591" idx="2"/>
          <a:endCxn id="11602" idx="0"/>
        </xdr:cNvCxnSpPr>
      </xdr:nvCxnSpPr>
      <xdr:spPr>
        <a:xfrm rot="5400000">
          <a:off x="5029582" y="969454"/>
          <a:ext cx="436245" cy="1690116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697992</xdr:colOff>
      <xdr:row>14</xdr:row>
      <xdr:rowOff>39624</xdr:rowOff>
    </xdr:from>
    <xdr:to>
      <xdr:col>7</xdr:col>
      <xdr:colOff>530352</xdr:colOff>
      <xdr:row>17</xdr:row>
      <xdr:rowOff>9144</xdr:rowOff>
    </xdr:to>
    <xdr:sp macro="" textlink="">
      <xdr:nvSpPr>
        <xdr:cNvPr id="11604" name="N_1.3.1">
          <a:extLst>
            <a:ext uri="{FF2B5EF4-FFF2-40B4-BE49-F238E27FC236}">
              <a16:creationId xmlns:a16="http://schemas.microsoft.com/office/drawing/2014/main" id="{3C35098F-5A55-45B8-9B65-E7333956DA1A}"/>
            </a:ext>
          </a:extLst>
        </xdr:cNvPr>
        <xdr:cNvSpPr/>
      </xdr:nvSpPr>
      <xdr:spPr>
        <a:xfrm>
          <a:off x="4507992" y="2773299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3.1 Aims
100%</a:t>
          </a:r>
        </a:p>
      </xdr:txBody>
    </xdr:sp>
    <xdr:clientData/>
  </xdr:twoCellAnchor>
  <xdr:twoCellAnchor>
    <xdr:from>
      <xdr:col>5</xdr:col>
      <xdr:colOff>592646</xdr:colOff>
      <xdr:row>13</xdr:row>
      <xdr:rowOff>106680</xdr:rowOff>
    </xdr:from>
    <xdr:to>
      <xdr:col>5</xdr:col>
      <xdr:colOff>697992</xdr:colOff>
      <xdr:row>15</xdr:row>
      <xdr:rowOff>119634</xdr:rowOff>
    </xdr:to>
    <xdr:cxnSp macro="">
      <xdr:nvCxnSpPr>
        <xdr:cNvPr id="11605" name="N_1.3_1.3.1">
          <a:extLst>
            <a:ext uri="{FF2B5EF4-FFF2-40B4-BE49-F238E27FC236}">
              <a16:creationId xmlns:a16="http://schemas.microsoft.com/office/drawing/2014/main" id="{2180CA99-6945-459D-95A5-83BDB01183DB}"/>
            </a:ext>
          </a:extLst>
        </xdr:cNvPr>
        <xdr:cNvCxnSpPr>
          <a:stCxn id="11602" idx="2"/>
          <a:endCxn id="11604" idx="1"/>
        </xdr:cNvCxnSpPr>
      </xdr:nvCxnSpPr>
      <xdr:spPr>
        <a:xfrm rot="16200000" flipH="1">
          <a:off x="4258342" y="2794159"/>
          <a:ext cx="393954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697992</xdr:colOff>
      <xdr:row>17</xdr:row>
      <xdr:rowOff>117348</xdr:rowOff>
    </xdr:from>
    <xdr:to>
      <xdr:col>7</xdr:col>
      <xdr:colOff>530352</xdr:colOff>
      <xdr:row>20</xdr:row>
      <xdr:rowOff>86868</xdr:rowOff>
    </xdr:to>
    <xdr:sp macro="" textlink="">
      <xdr:nvSpPr>
        <xdr:cNvPr id="11606" name="N_1.3.2">
          <a:extLst>
            <a:ext uri="{FF2B5EF4-FFF2-40B4-BE49-F238E27FC236}">
              <a16:creationId xmlns:a16="http://schemas.microsoft.com/office/drawing/2014/main" id="{9274A853-C946-42A5-9752-2716B101EB0F}"/>
            </a:ext>
          </a:extLst>
        </xdr:cNvPr>
        <xdr:cNvSpPr/>
      </xdr:nvSpPr>
      <xdr:spPr>
        <a:xfrm>
          <a:off x="4507992" y="3422523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3.2 Stakeholders
100%</a:t>
          </a:r>
        </a:p>
      </xdr:txBody>
    </xdr:sp>
    <xdr:clientData/>
  </xdr:twoCellAnchor>
  <xdr:twoCellAnchor>
    <xdr:from>
      <xdr:col>5</xdr:col>
      <xdr:colOff>592646</xdr:colOff>
      <xdr:row>13</xdr:row>
      <xdr:rowOff>106680</xdr:rowOff>
    </xdr:from>
    <xdr:to>
      <xdr:col>5</xdr:col>
      <xdr:colOff>697992</xdr:colOff>
      <xdr:row>19</xdr:row>
      <xdr:rowOff>6858</xdr:rowOff>
    </xdr:to>
    <xdr:cxnSp macro="">
      <xdr:nvCxnSpPr>
        <xdr:cNvPr id="11607" name="N_1.3_1.3.2">
          <a:extLst>
            <a:ext uri="{FF2B5EF4-FFF2-40B4-BE49-F238E27FC236}">
              <a16:creationId xmlns:a16="http://schemas.microsoft.com/office/drawing/2014/main" id="{80C21592-3BB8-44AA-AAD3-E9C6F6298C3A}"/>
            </a:ext>
          </a:extLst>
        </xdr:cNvPr>
        <xdr:cNvCxnSpPr>
          <a:stCxn id="11602" idx="2"/>
          <a:endCxn id="11606" idx="1"/>
        </xdr:cNvCxnSpPr>
      </xdr:nvCxnSpPr>
      <xdr:spPr>
        <a:xfrm rot="16200000" flipH="1">
          <a:off x="3933730" y="3118771"/>
          <a:ext cx="1043178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105537</xdr:colOff>
      <xdr:row>10</xdr:row>
      <xdr:rowOff>60960</xdr:rowOff>
    </xdr:from>
    <xdr:to>
      <xdr:col>9</xdr:col>
      <xdr:colOff>134112</xdr:colOff>
      <xdr:row>13</xdr:row>
      <xdr:rowOff>106680</xdr:rowOff>
    </xdr:to>
    <xdr:sp macro="" textlink="">
      <xdr:nvSpPr>
        <xdr:cNvPr id="11608" name="N_1.4">
          <a:extLst>
            <a:ext uri="{FF2B5EF4-FFF2-40B4-BE49-F238E27FC236}">
              <a16:creationId xmlns:a16="http://schemas.microsoft.com/office/drawing/2014/main" id="{05373895-8AF5-4852-BCEF-51ECCDC2C39E}"/>
            </a:ext>
          </a:extLst>
        </xdr:cNvPr>
        <xdr:cNvSpPr/>
      </xdr:nvSpPr>
      <xdr:spPr>
        <a:xfrm>
          <a:off x="5439537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7</xdr:col>
      <xdr:colOff>758762</xdr:colOff>
      <xdr:row>8</xdr:row>
      <xdr:rowOff>5714</xdr:rowOff>
    </xdr:from>
    <xdr:to>
      <xdr:col>8</xdr:col>
      <xdr:colOff>119825</xdr:colOff>
      <xdr:row>10</xdr:row>
      <xdr:rowOff>60959</xdr:rowOff>
    </xdr:to>
    <xdr:cxnSp macro="">
      <xdr:nvCxnSpPr>
        <xdr:cNvPr id="11609" name="N_1_1.4">
          <a:extLst>
            <a:ext uri="{FF2B5EF4-FFF2-40B4-BE49-F238E27FC236}">
              <a16:creationId xmlns:a16="http://schemas.microsoft.com/office/drawing/2014/main" id="{063EA0BE-B9AC-4926-8164-65BD42A25B14}"/>
            </a:ext>
          </a:extLst>
        </xdr:cNvPr>
        <xdr:cNvCxnSpPr>
          <a:stCxn id="11591" idx="2"/>
          <a:endCxn id="11608" idx="0"/>
        </xdr:cNvCxnSpPr>
      </xdr:nvCxnSpPr>
      <xdr:spPr>
        <a:xfrm rot="16200000" flipH="1">
          <a:off x="5936171" y="1752980"/>
          <a:ext cx="436245" cy="123063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14</xdr:row>
      <xdr:rowOff>39624</xdr:rowOff>
    </xdr:from>
    <xdr:to>
      <xdr:col>10</xdr:col>
      <xdr:colOff>57531</xdr:colOff>
      <xdr:row>17</xdr:row>
      <xdr:rowOff>9144</xdr:rowOff>
    </xdr:to>
    <xdr:sp macro="" textlink="">
      <xdr:nvSpPr>
        <xdr:cNvPr id="11610" name="N_1.4.1">
          <a:extLst>
            <a:ext uri="{FF2B5EF4-FFF2-40B4-BE49-F238E27FC236}">
              <a16:creationId xmlns:a16="http://schemas.microsoft.com/office/drawing/2014/main" id="{D56B4726-F346-4D1C-B3A8-937564B5D4C5}"/>
            </a:ext>
          </a:extLst>
        </xdr:cNvPr>
        <xdr:cNvSpPr/>
      </xdr:nvSpPr>
      <xdr:spPr>
        <a:xfrm>
          <a:off x="6321171" y="2773299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4.1 Work prozess
100%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15</xdr:row>
      <xdr:rowOff>119634</xdr:rowOff>
    </xdr:to>
    <xdr:cxnSp macro="">
      <xdr:nvCxnSpPr>
        <xdr:cNvPr id="11611" name="N_1.4_1.4.1">
          <a:extLst>
            <a:ext uri="{FF2B5EF4-FFF2-40B4-BE49-F238E27FC236}">
              <a16:creationId xmlns:a16="http://schemas.microsoft.com/office/drawing/2014/main" id="{AB1E9EEE-E5EB-4AD5-BAEB-8030B8F55B1C}"/>
            </a:ext>
          </a:extLst>
        </xdr:cNvPr>
        <xdr:cNvCxnSpPr>
          <a:stCxn id="11608" idx="2"/>
          <a:endCxn id="11610" idx="1"/>
        </xdr:cNvCxnSpPr>
      </xdr:nvCxnSpPr>
      <xdr:spPr>
        <a:xfrm rot="16200000" flipH="1">
          <a:off x="6071521" y="2794159"/>
          <a:ext cx="393954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17</xdr:row>
      <xdr:rowOff>117348</xdr:rowOff>
    </xdr:from>
    <xdr:to>
      <xdr:col>10</xdr:col>
      <xdr:colOff>57531</xdr:colOff>
      <xdr:row>20</xdr:row>
      <xdr:rowOff>86868</xdr:rowOff>
    </xdr:to>
    <xdr:sp macro="" textlink="">
      <xdr:nvSpPr>
        <xdr:cNvPr id="11612" name="N_1.4.2">
          <a:extLst>
            <a:ext uri="{FF2B5EF4-FFF2-40B4-BE49-F238E27FC236}">
              <a16:creationId xmlns:a16="http://schemas.microsoft.com/office/drawing/2014/main" id="{28CE20BC-1837-44AD-AC26-2AB353821C0B}"/>
            </a:ext>
          </a:extLst>
        </xdr:cNvPr>
        <xdr:cNvSpPr/>
      </xdr:nvSpPr>
      <xdr:spPr>
        <a:xfrm>
          <a:off x="6321171" y="3422523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4.2 Workplace design
100%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19</xdr:row>
      <xdr:rowOff>6858</xdr:rowOff>
    </xdr:to>
    <xdr:cxnSp macro="">
      <xdr:nvCxnSpPr>
        <xdr:cNvPr id="11613" name="N_1.4_1.4.2">
          <a:extLst>
            <a:ext uri="{FF2B5EF4-FFF2-40B4-BE49-F238E27FC236}">
              <a16:creationId xmlns:a16="http://schemas.microsoft.com/office/drawing/2014/main" id="{C9FB572E-47AC-4EAA-B7F0-F0E0459E20CF}"/>
            </a:ext>
          </a:extLst>
        </xdr:cNvPr>
        <xdr:cNvCxnSpPr>
          <a:stCxn id="11608" idx="2"/>
          <a:endCxn id="11612" idx="1"/>
        </xdr:cNvCxnSpPr>
      </xdr:nvCxnSpPr>
      <xdr:spPr>
        <a:xfrm rot="16200000" flipH="1">
          <a:off x="5746909" y="3118771"/>
          <a:ext cx="1043178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21</xdr:row>
      <xdr:rowOff>4572</xdr:rowOff>
    </xdr:from>
    <xdr:to>
      <xdr:col>10</xdr:col>
      <xdr:colOff>57531</xdr:colOff>
      <xdr:row>23</xdr:row>
      <xdr:rowOff>164592</xdr:rowOff>
    </xdr:to>
    <xdr:sp macro="" textlink="">
      <xdr:nvSpPr>
        <xdr:cNvPr id="11614" name="N_1.4.3">
          <a:extLst>
            <a:ext uri="{FF2B5EF4-FFF2-40B4-BE49-F238E27FC236}">
              <a16:creationId xmlns:a16="http://schemas.microsoft.com/office/drawing/2014/main" id="{BE49C38E-4554-4A4E-A5ED-10F456D24EB5}"/>
            </a:ext>
          </a:extLst>
        </xdr:cNvPr>
        <xdr:cNvSpPr/>
      </xdr:nvSpPr>
      <xdr:spPr>
        <a:xfrm>
          <a:off x="6321171" y="4071747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 Search of suppliers
50%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22</xdr:row>
      <xdr:rowOff>84582</xdr:rowOff>
    </xdr:to>
    <xdr:cxnSp macro="">
      <xdr:nvCxnSpPr>
        <xdr:cNvPr id="11615" name="N_1.4_1.4.3">
          <a:extLst>
            <a:ext uri="{FF2B5EF4-FFF2-40B4-BE49-F238E27FC236}">
              <a16:creationId xmlns:a16="http://schemas.microsoft.com/office/drawing/2014/main" id="{6DA9119E-E595-4CC1-8347-51ADE538A4B0}"/>
            </a:ext>
          </a:extLst>
        </xdr:cNvPr>
        <xdr:cNvCxnSpPr>
          <a:stCxn id="11608" idx="2"/>
          <a:endCxn id="11614" idx="1"/>
        </xdr:cNvCxnSpPr>
      </xdr:nvCxnSpPr>
      <xdr:spPr>
        <a:xfrm rot="16200000" flipH="1">
          <a:off x="5422297" y="3443383"/>
          <a:ext cx="1692402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24</xdr:row>
      <xdr:rowOff>82296</xdr:rowOff>
    </xdr:from>
    <xdr:to>
      <xdr:col>11</xdr:col>
      <xdr:colOff>177165</xdr:colOff>
      <xdr:row>27</xdr:row>
      <xdr:rowOff>51816</xdr:rowOff>
    </xdr:to>
    <xdr:sp macro="" textlink="">
      <xdr:nvSpPr>
        <xdr:cNvPr id="11616" name="N_1.4.3.1">
          <a:extLst>
            <a:ext uri="{FF2B5EF4-FFF2-40B4-BE49-F238E27FC236}">
              <a16:creationId xmlns:a16="http://schemas.microsoft.com/office/drawing/2014/main" id="{08D6AB9C-0DBF-4655-B185-2DFAE1AF273F}"/>
            </a:ext>
          </a:extLst>
        </xdr:cNvPr>
        <xdr:cNvSpPr/>
      </xdr:nvSpPr>
      <xdr:spPr>
        <a:xfrm>
          <a:off x="7202805" y="4720971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4.3.1 Requirements specification
100%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25</xdr:row>
      <xdr:rowOff>162306</xdr:rowOff>
    </xdr:to>
    <xdr:cxnSp macro="">
      <xdr:nvCxnSpPr>
        <xdr:cNvPr id="11617" name="N_1.4.3_1.4.3.1">
          <a:extLst>
            <a:ext uri="{FF2B5EF4-FFF2-40B4-BE49-F238E27FC236}">
              <a16:creationId xmlns:a16="http://schemas.microsoft.com/office/drawing/2014/main" id="{EF96DF25-73E5-4A79-B8AA-0181AE805E56}"/>
            </a:ext>
          </a:extLst>
        </xdr:cNvPr>
        <xdr:cNvCxnSpPr>
          <a:stCxn id="11614" idx="2"/>
          <a:endCxn id="11616" idx="1"/>
        </xdr:cNvCxnSpPr>
      </xdr:nvCxnSpPr>
      <xdr:spPr>
        <a:xfrm rot="16200000" flipH="1">
          <a:off x="6911721" y="4700397"/>
          <a:ext cx="378714" cy="203454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27</xdr:row>
      <xdr:rowOff>160020</xdr:rowOff>
    </xdr:from>
    <xdr:to>
      <xdr:col>11</xdr:col>
      <xdr:colOff>177165</xdr:colOff>
      <xdr:row>30</xdr:row>
      <xdr:rowOff>129540</xdr:rowOff>
    </xdr:to>
    <xdr:sp macro="" textlink="">
      <xdr:nvSpPr>
        <xdr:cNvPr id="11618" name="N_1.4.3.2">
          <a:extLst>
            <a:ext uri="{FF2B5EF4-FFF2-40B4-BE49-F238E27FC236}">
              <a16:creationId xmlns:a16="http://schemas.microsoft.com/office/drawing/2014/main" id="{F152D95A-CDC9-40A2-A17E-11F3150409F4}"/>
            </a:ext>
          </a:extLst>
        </xdr:cNvPr>
        <xdr:cNvSpPr/>
      </xdr:nvSpPr>
      <xdr:spPr>
        <a:xfrm>
          <a:off x="7202805" y="5370195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4.3.2 Requests
50%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29</xdr:row>
      <xdr:rowOff>49530</xdr:rowOff>
    </xdr:to>
    <xdr:cxnSp macro="">
      <xdr:nvCxnSpPr>
        <xdr:cNvPr id="11619" name="N_1.4.3_1.4.3.2">
          <a:extLst>
            <a:ext uri="{FF2B5EF4-FFF2-40B4-BE49-F238E27FC236}">
              <a16:creationId xmlns:a16="http://schemas.microsoft.com/office/drawing/2014/main" id="{1CD6A9D7-1846-4C9C-B9A0-AFD26294FD94}"/>
            </a:ext>
          </a:extLst>
        </xdr:cNvPr>
        <xdr:cNvCxnSpPr>
          <a:stCxn id="11614" idx="2"/>
          <a:endCxn id="11618" idx="1"/>
        </xdr:cNvCxnSpPr>
      </xdr:nvCxnSpPr>
      <xdr:spPr>
        <a:xfrm rot="16200000" flipH="1">
          <a:off x="6587109" y="5025009"/>
          <a:ext cx="1027938" cy="203454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31</xdr:row>
      <xdr:rowOff>47244</xdr:rowOff>
    </xdr:from>
    <xdr:to>
      <xdr:col>11</xdr:col>
      <xdr:colOff>177165</xdr:colOff>
      <xdr:row>34</xdr:row>
      <xdr:rowOff>16763</xdr:rowOff>
    </xdr:to>
    <xdr:sp macro="" textlink="">
      <xdr:nvSpPr>
        <xdr:cNvPr id="11620" name="N_1.4.3.3">
          <a:extLst>
            <a:ext uri="{FF2B5EF4-FFF2-40B4-BE49-F238E27FC236}">
              <a16:creationId xmlns:a16="http://schemas.microsoft.com/office/drawing/2014/main" id="{F9EF7791-3E0C-4E7B-BE53-2DA99FDAA9E4}"/>
            </a:ext>
          </a:extLst>
        </xdr:cNvPr>
        <xdr:cNvSpPr/>
      </xdr:nvSpPr>
      <xdr:spPr>
        <a:xfrm>
          <a:off x="7202805" y="6019419"/>
          <a:ext cx="1356360" cy="54101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4.3.3 Comparison
0%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32</xdr:row>
      <xdr:rowOff>127254</xdr:rowOff>
    </xdr:to>
    <xdr:cxnSp macro="">
      <xdr:nvCxnSpPr>
        <xdr:cNvPr id="11621" name="N_1.4.3_1.4.3.3">
          <a:extLst>
            <a:ext uri="{FF2B5EF4-FFF2-40B4-BE49-F238E27FC236}">
              <a16:creationId xmlns:a16="http://schemas.microsoft.com/office/drawing/2014/main" id="{2B7702F9-F82B-4DB2-ADA4-3C9F6DA2E406}"/>
            </a:ext>
          </a:extLst>
        </xdr:cNvPr>
        <xdr:cNvCxnSpPr>
          <a:stCxn id="11614" idx="2"/>
          <a:endCxn id="11620" idx="1"/>
        </xdr:cNvCxnSpPr>
      </xdr:nvCxnSpPr>
      <xdr:spPr>
        <a:xfrm rot="16200000" flipH="1">
          <a:off x="6262497" y="5349621"/>
          <a:ext cx="1677162" cy="203454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514350</xdr:colOff>
      <xdr:row>10</xdr:row>
      <xdr:rowOff>60960</xdr:rowOff>
    </xdr:from>
    <xdr:to>
      <xdr:col>12</xdr:col>
      <xdr:colOff>542925</xdr:colOff>
      <xdr:row>13</xdr:row>
      <xdr:rowOff>106680</xdr:rowOff>
    </xdr:to>
    <xdr:sp macro="" textlink="">
      <xdr:nvSpPr>
        <xdr:cNvPr id="11622" name="N_1.5">
          <a:extLst>
            <a:ext uri="{FF2B5EF4-FFF2-40B4-BE49-F238E27FC236}">
              <a16:creationId xmlns:a16="http://schemas.microsoft.com/office/drawing/2014/main" id="{844CC8F9-2C02-4933-AFC4-82E7BBEEAD27}"/>
            </a:ext>
          </a:extLst>
        </xdr:cNvPr>
        <xdr:cNvSpPr/>
      </xdr:nvSpPr>
      <xdr:spPr>
        <a:xfrm>
          <a:off x="8134350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Realization</a:t>
          </a:r>
        </a:p>
      </xdr:txBody>
    </xdr:sp>
    <xdr:clientData/>
  </xdr:twoCellAnchor>
  <xdr:twoCellAnchor>
    <xdr:from>
      <xdr:col>7</xdr:col>
      <xdr:colOff>758763</xdr:colOff>
      <xdr:row>8</xdr:row>
      <xdr:rowOff>5714</xdr:rowOff>
    </xdr:from>
    <xdr:to>
      <xdr:col>11</xdr:col>
      <xdr:colOff>528639</xdr:colOff>
      <xdr:row>10</xdr:row>
      <xdr:rowOff>60959</xdr:rowOff>
    </xdr:to>
    <xdr:cxnSp macro="">
      <xdr:nvCxnSpPr>
        <xdr:cNvPr id="11623" name="N_1_1.5">
          <a:extLst>
            <a:ext uri="{FF2B5EF4-FFF2-40B4-BE49-F238E27FC236}">
              <a16:creationId xmlns:a16="http://schemas.microsoft.com/office/drawing/2014/main" id="{0E8D7048-5057-4AC0-B41B-D7898F199956}"/>
            </a:ext>
          </a:extLst>
        </xdr:cNvPr>
        <xdr:cNvCxnSpPr>
          <a:stCxn id="11591" idx="2"/>
          <a:endCxn id="11622" idx="0"/>
        </xdr:cNvCxnSpPr>
      </xdr:nvCxnSpPr>
      <xdr:spPr>
        <a:xfrm rot="16200000" flipH="1">
          <a:off x="7283578" y="405574"/>
          <a:ext cx="436245" cy="2817876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14</xdr:row>
      <xdr:rowOff>39624</xdr:rowOff>
    </xdr:from>
    <xdr:to>
      <xdr:col>13</xdr:col>
      <xdr:colOff>466344</xdr:colOff>
      <xdr:row>17</xdr:row>
      <xdr:rowOff>9144</xdr:rowOff>
    </xdr:to>
    <xdr:sp macro="" textlink="">
      <xdr:nvSpPr>
        <xdr:cNvPr id="11624" name="N_1.5.1">
          <a:extLst>
            <a:ext uri="{FF2B5EF4-FFF2-40B4-BE49-F238E27FC236}">
              <a16:creationId xmlns:a16="http://schemas.microsoft.com/office/drawing/2014/main" id="{FE434ABA-D0DA-44AD-B2B5-CE07FB68E1D8}"/>
            </a:ext>
          </a:extLst>
        </xdr:cNvPr>
        <xdr:cNvSpPr/>
      </xdr:nvSpPr>
      <xdr:spPr>
        <a:xfrm>
          <a:off x="9015984" y="2773299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5.1 Order of components
50%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15</xdr:row>
      <xdr:rowOff>119634</xdr:rowOff>
    </xdr:to>
    <xdr:cxnSp macro="">
      <xdr:nvCxnSpPr>
        <xdr:cNvPr id="11625" name="N_1.5_1.5.1">
          <a:extLst>
            <a:ext uri="{FF2B5EF4-FFF2-40B4-BE49-F238E27FC236}">
              <a16:creationId xmlns:a16="http://schemas.microsoft.com/office/drawing/2014/main" id="{BF4110D2-CD70-485F-9664-077A85775F2D}"/>
            </a:ext>
          </a:extLst>
        </xdr:cNvPr>
        <xdr:cNvCxnSpPr>
          <a:stCxn id="11622" idx="2"/>
          <a:endCxn id="11624" idx="1"/>
        </xdr:cNvCxnSpPr>
      </xdr:nvCxnSpPr>
      <xdr:spPr>
        <a:xfrm rot="16200000" flipH="1">
          <a:off x="8766334" y="2794159"/>
          <a:ext cx="393954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17</xdr:row>
      <xdr:rowOff>117348</xdr:rowOff>
    </xdr:from>
    <xdr:to>
      <xdr:col>13</xdr:col>
      <xdr:colOff>466344</xdr:colOff>
      <xdr:row>20</xdr:row>
      <xdr:rowOff>86868</xdr:rowOff>
    </xdr:to>
    <xdr:sp macro="" textlink="">
      <xdr:nvSpPr>
        <xdr:cNvPr id="11626" name="N_1.5.2">
          <a:extLst>
            <a:ext uri="{FF2B5EF4-FFF2-40B4-BE49-F238E27FC236}">
              <a16:creationId xmlns:a16="http://schemas.microsoft.com/office/drawing/2014/main" id="{B2E61BA9-82F1-465C-A82F-5046B3EF4FA6}"/>
            </a:ext>
          </a:extLst>
        </xdr:cNvPr>
        <xdr:cNvSpPr/>
      </xdr:nvSpPr>
      <xdr:spPr>
        <a:xfrm>
          <a:off x="9015984" y="3422523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5.2 Installation
0%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19</xdr:row>
      <xdr:rowOff>6858</xdr:rowOff>
    </xdr:to>
    <xdr:cxnSp macro="">
      <xdr:nvCxnSpPr>
        <xdr:cNvPr id="11627" name="N_1.5_1.5.2">
          <a:extLst>
            <a:ext uri="{FF2B5EF4-FFF2-40B4-BE49-F238E27FC236}">
              <a16:creationId xmlns:a16="http://schemas.microsoft.com/office/drawing/2014/main" id="{CCD0B3C0-2260-4705-8B83-CE88735BEBFA}"/>
            </a:ext>
          </a:extLst>
        </xdr:cNvPr>
        <xdr:cNvCxnSpPr>
          <a:stCxn id="11622" idx="2"/>
          <a:endCxn id="11626" idx="1"/>
        </xdr:cNvCxnSpPr>
      </xdr:nvCxnSpPr>
      <xdr:spPr>
        <a:xfrm rot="16200000" flipH="1">
          <a:off x="8441722" y="3118771"/>
          <a:ext cx="1043178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21</xdr:row>
      <xdr:rowOff>4572</xdr:rowOff>
    </xdr:from>
    <xdr:to>
      <xdr:col>13</xdr:col>
      <xdr:colOff>466344</xdr:colOff>
      <xdr:row>23</xdr:row>
      <xdr:rowOff>164592</xdr:rowOff>
    </xdr:to>
    <xdr:sp macro="" textlink="">
      <xdr:nvSpPr>
        <xdr:cNvPr id="11628" name="N_1.5.3">
          <a:extLst>
            <a:ext uri="{FF2B5EF4-FFF2-40B4-BE49-F238E27FC236}">
              <a16:creationId xmlns:a16="http://schemas.microsoft.com/office/drawing/2014/main" id="{DFBD2D30-6438-45AB-949C-211632F19AD5}"/>
            </a:ext>
          </a:extLst>
        </xdr:cNvPr>
        <xdr:cNvSpPr/>
      </xdr:nvSpPr>
      <xdr:spPr>
        <a:xfrm>
          <a:off x="9015984" y="4071747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5.3 Test phase
0%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22</xdr:row>
      <xdr:rowOff>84582</xdr:rowOff>
    </xdr:to>
    <xdr:cxnSp macro="">
      <xdr:nvCxnSpPr>
        <xdr:cNvPr id="11629" name="N_1.5_1.5.3">
          <a:extLst>
            <a:ext uri="{FF2B5EF4-FFF2-40B4-BE49-F238E27FC236}">
              <a16:creationId xmlns:a16="http://schemas.microsoft.com/office/drawing/2014/main" id="{A6F236B9-B1B2-4075-9DAA-62574CE62A35}"/>
            </a:ext>
          </a:extLst>
        </xdr:cNvPr>
        <xdr:cNvCxnSpPr>
          <a:stCxn id="11622" idx="2"/>
          <a:endCxn id="11628" idx="1"/>
        </xdr:cNvCxnSpPr>
      </xdr:nvCxnSpPr>
      <xdr:spPr>
        <a:xfrm rot="16200000" flipH="1">
          <a:off x="8117110" y="3443383"/>
          <a:ext cx="1692402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24</xdr:row>
      <xdr:rowOff>82296</xdr:rowOff>
    </xdr:from>
    <xdr:to>
      <xdr:col>13</xdr:col>
      <xdr:colOff>466344</xdr:colOff>
      <xdr:row>27</xdr:row>
      <xdr:rowOff>51816</xdr:rowOff>
    </xdr:to>
    <xdr:sp macro="" textlink="">
      <xdr:nvSpPr>
        <xdr:cNvPr id="11630" name="N_1.5.4">
          <a:extLst>
            <a:ext uri="{FF2B5EF4-FFF2-40B4-BE49-F238E27FC236}">
              <a16:creationId xmlns:a16="http://schemas.microsoft.com/office/drawing/2014/main" id="{D1E56CE3-F8EA-4CBC-BE26-774A66227854}"/>
            </a:ext>
          </a:extLst>
        </xdr:cNvPr>
        <xdr:cNvSpPr/>
      </xdr:nvSpPr>
      <xdr:spPr>
        <a:xfrm>
          <a:off x="9015984" y="4720971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5.4 Optimization
0%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25</xdr:row>
      <xdr:rowOff>162306</xdr:rowOff>
    </xdr:to>
    <xdr:cxnSp macro="">
      <xdr:nvCxnSpPr>
        <xdr:cNvPr id="11631" name="N_1.5_1.5.4">
          <a:extLst>
            <a:ext uri="{FF2B5EF4-FFF2-40B4-BE49-F238E27FC236}">
              <a16:creationId xmlns:a16="http://schemas.microsoft.com/office/drawing/2014/main" id="{C3A6B10A-042F-4594-9863-27A2BB5EA260}"/>
            </a:ext>
          </a:extLst>
        </xdr:cNvPr>
        <xdr:cNvCxnSpPr>
          <a:stCxn id="11622" idx="2"/>
          <a:endCxn id="11630" idx="1"/>
        </xdr:cNvCxnSpPr>
      </xdr:nvCxnSpPr>
      <xdr:spPr>
        <a:xfrm rot="16200000" flipH="1">
          <a:off x="7792498" y="3767995"/>
          <a:ext cx="2341626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41529</xdr:colOff>
      <xdr:row>10</xdr:row>
      <xdr:rowOff>60960</xdr:rowOff>
    </xdr:from>
    <xdr:to>
      <xdr:col>15</xdr:col>
      <xdr:colOff>70104</xdr:colOff>
      <xdr:row>13</xdr:row>
      <xdr:rowOff>106680</xdr:rowOff>
    </xdr:to>
    <xdr:sp macro="" textlink="">
      <xdr:nvSpPr>
        <xdr:cNvPr id="11632" name="N_1.6">
          <a:extLst>
            <a:ext uri="{FF2B5EF4-FFF2-40B4-BE49-F238E27FC236}">
              <a16:creationId xmlns:a16="http://schemas.microsoft.com/office/drawing/2014/main" id="{9856FB4F-A59F-48C2-9E10-20AFB12B88B8}"/>
            </a:ext>
          </a:extLst>
        </xdr:cNvPr>
        <xdr:cNvSpPr/>
      </xdr:nvSpPr>
      <xdr:spPr>
        <a:xfrm>
          <a:off x="9947529" y="203263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Closing</a:t>
          </a:r>
        </a:p>
      </xdr:txBody>
    </xdr:sp>
    <xdr:clientData/>
  </xdr:twoCellAnchor>
  <xdr:twoCellAnchor>
    <xdr:from>
      <xdr:col>7</xdr:col>
      <xdr:colOff>758762</xdr:colOff>
      <xdr:row>8</xdr:row>
      <xdr:rowOff>5714</xdr:rowOff>
    </xdr:from>
    <xdr:to>
      <xdr:col>14</xdr:col>
      <xdr:colOff>55817</xdr:colOff>
      <xdr:row>10</xdr:row>
      <xdr:rowOff>60959</xdr:rowOff>
    </xdr:to>
    <xdr:cxnSp macro="">
      <xdr:nvCxnSpPr>
        <xdr:cNvPr id="11633" name="N_1_1.6">
          <a:extLst>
            <a:ext uri="{FF2B5EF4-FFF2-40B4-BE49-F238E27FC236}">
              <a16:creationId xmlns:a16="http://schemas.microsoft.com/office/drawing/2014/main" id="{421176C0-CEFC-4C56-B89D-82C45FAFD3FB}"/>
            </a:ext>
          </a:extLst>
        </xdr:cNvPr>
        <xdr:cNvCxnSpPr>
          <a:stCxn id="11591" idx="2"/>
          <a:endCxn id="11632" idx="0"/>
        </xdr:cNvCxnSpPr>
      </xdr:nvCxnSpPr>
      <xdr:spPr>
        <a:xfrm rot="16200000" flipH="1">
          <a:off x="8190167" y="-501016"/>
          <a:ext cx="436245" cy="4631055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161163</xdr:colOff>
      <xdr:row>14</xdr:row>
      <xdr:rowOff>39624</xdr:rowOff>
    </xdr:from>
    <xdr:to>
      <xdr:col>15</xdr:col>
      <xdr:colOff>755523</xdr:colOff>
      <xdr:row>17</xdr:row>
      <xdr:rowOff>9144</xdr:rowOff>
    </xdr:to>
    <xdr:sp macro="" textlink="">
      <xdr:nvSpPr>
        <xdr:cNvPr id="11634" name="N_1.6.1">
          <a:extLst>
            <a:ext uri="{FF2B5EF4-FFF2-40B4-BE49-F238E27FC236}">
              <a16:creationId xmlns:a16="http://schemas.microsoft.com/office/drawing/2014/main" id="{7372D369-4596-4AB0-8F82-E1F8BDB621F0}"/>
            </a:ext>
          </a:extLst>
        </xdr:cNvPr>
        <xdr:cNvSpPr/>
      </xdr:nvSpPr>
      <xdr:spPr>
        <a:xfrm>
          <a:off x="10829163" y="2773299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6.1 Lessons learned
0%</a:t>
          </a:r>
        </a:p>
      </xdr:txBody>
    </xdr:sp>
    <xdr:clientData/>
  </xdr:twoCellAnchor>
  <xdr:twoCellAnchor>
    <xdr:from>
      <xdr:col>14</xdr:col>
      <xdr:colOff>55817</xdr:colOff>
      <xdr:row>13</xdr:row>
      <xdr:rowOff>106680</xdr:rowOff>
    </xdr:from>
    <xdr:to>
      <xdr:col>14</xdr:col>
      <xdr:colOff>161163</xdr:colOff>
      <xdr:row>15</xdr:row>
      <xdr:rowOff>119634</xdr:rowOff>
    </xdr:to>
    <xdr:cxnSp macro="">
      <xdr:nvCxnSpPr>
        <xdr:cNvPr id="11635" name="N_1.6_1.6.1">
          <a:extLst>
            <a:ext uri="{FF2B5EF4-FFF2-40B4-BE49-F238E27FC236}">
              <a16:creationId xmlns:a16="http://schemas.microsoft.com/office/drawing/2014/main" id="{4F9D381E-CD63-4EE9-81F6-8E6CCDB7A625}"/>
            </a:ext>
          </a:extLst>
        </xdr:cNvPr>
        <xdr:cNvCxnSpPr>
          <a:stCxn id="11632" idx="2"/>
          <a:endCxn id="11634" idx="1"/>
        </xdr:cNvCxnSpPr>
      </xdr:nvCxnSpPr>
      <xdr:spPr>
        <a:xfrm rot="16200000" flipH="1">
          <a:off x="10579513" y="2794159"/>
          <a:ext cx="393954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161163</xdr:colOff>
      <xdr:row>17</xdr:row>
      <xdr:rowOff>117348</xdr:rowOff>
    </xdr:from>
    <xdr:to>
      <xdr:col>15</xdr:col>
      <xdr:colOff>755523</xdr:colOff>
      <xdr:row>20</xdr:row>
      <xdr:rowOff>86868</xdr:rowOff>
    </xdr:to>
    <xdr:sp macro="" textlink="">
      <xdr:nvSpPr>
        <xdr:cNvPr id="11636" name="N_1.6.2">
          <a:extLst>
            <a:ext uri="{FF2B5EF4-FFF2-40B4-BE49-F238E27FC236}">
              <a16:creationId xmlns:a16="http://schemas.microsoft.com/office/drawing/2014/main" id="{6C74BC19-C266-4A90-803B-8859A0E02617}"/>
            </a:ext>
          </a:extLst>
        </xdr:cNvPr>
        <xdr:cNvSpPr/>
      </xdr:nvSpPr>
      <xdr:spPr>
        <a:xfrm>
          <a:off x="10829163" y="3422523"/>
          <a:ext cx="1356360" cy="541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6.2 Final report
0%</a:t>
          </a:r>
        </a:p>
      </xdr:txBody>
    </xdr:sp>
    <xdr:clientData/>
  </xdr:twoCellAnchor>
  <xdr:twoCellAnchor>
    <xdr:from>
      <xdr:col>14</xdr:col>
      <xdr:colOff>55817</xdr:colOff>
      <xdr:row>13</xdr:row>
      <xdr:rowOff>106680</xdr:rowOff>
    </xdr:from>
    <xdr:to>
      <xdr:col>14</xdr:col>
      <xdr:colOff>161163</xdr:colOff>
      <xdr:row>19</xdr:row>
      <xdr:rowOff>6858</xdr:rowOff>
    </xdr:to>
    <xdr:cxnSp macro="">
      <xdr:nvCxnSpPr>
        <xdr:cNvPr id="11637" name="N_1.6_1.6.2">
          <a:extLst>
            <a:ext uri="{FF2B5EF4-FFF2-40B4-BE49-F238E27FC236}">
              <a16:creationId xmlns:a16="http://schemas.microsoft.com/office/drawing/2014/main" id="{AB8B4EB0-9618-45A6-8A72-D2A141F1C44C}"/>
            </a:ext>
          </a:extLst>
        </xdr:cNvPr>
        <xdr:cNvCxnSpPr>
          <a:stCxn id="11632" idx="2"/>
          <a:endCxn id="11636" idx="1"/>
        </xdr:cNvCxnSpPr>
      </xdr:nvCxnSpPr>
      <xdr:spPr>
        <a:xfrm rot="16200000" flipH="1">
          <a:off x="10254901" y="3118771"/>
          <a:ext cx="1043178" cy="10534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tag/WBS/" TargetMode="External"/><Relationship Id="rId1" Type="http://schemas.openxmlformats.org/officeDocument/2006/relationships/hyperlink" Target="https://techpluscode.de/tag/PSP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workbookViewId="0">
      <selection activeCell="J8" sqref="J8"/>
    </sheetView>
  </sheetViews>
  <sheetFormatPr baseColWidth="10" defaultColWidth="11.5703125" defaultRowHeight="15" x14ac:dyDescent="0.25"/>
  <cols>
    <col min="1" max="3" width="11.5703125" style="45"/>
    <col min="4" max="4" width="11.5703125" style="52"/>
    <col min="5" max="16384" width="11.5703125" style="45"/>
  </cols>
  <sheetData>
    <row r="1" spans="1:6" x14ac:dyDescent="0.25">
      <c r="B1" s="46" t="s">
        <v>145</v>
      </c>
      <c r="C1" s="46" t="s">
        <v>146</v>
      </c>
      <c r="D1" s="47" t="s">
        <v>147</v>
      </c>
      <c r="E1" s="46" t="s">
        <v>62</v>
      </c>
      <c r="F1" s="46" t="s">
        <v>148</v>
      </c>
    </row>
    <row r="2" spans="1:6" ht="75" x14ac:dyDescent="0.25">
      <c r="A2" s="45">
        <v>1</v>
      </c>
      <c r="B2" s="47" t="s">
        <v>82</v>
      </c>
      <c r="C2" s="47"/>
      <c r="D2" s="47"/>
      <c r="E2" s="46"/>
      <c r="F2" s="46"/>
    </row>
    <row r="3" spans="1:6" ht="45" x14ac:dyDescent="0.25">
      <c r="A3" s="45" t="str">
        <f t="shared" ref="A3:A24" si="0">"1."&amp;D3</f>
        <v>1.2</v>
      </c>
      <c r="B3" s="37" t="s">
        <v>83</v>
      </c>
      <c r="C3" s="37"/>
      <c r="D3" s="38" t="s">
        <v>49</v>
      </c>
      <c r="E3" s="37" t="s">
        <v>84</v>
      </c>
      <c r="F3" s="37" t="s">
        <v>84</v>
      </c>
    </row>
    <row r="4" spans="1:6" ht="45" x14ac:dyDescent="0.25">
      <c r="A4" s="45" t="str">
        <f t="shared" si="0"/>
        <v>1.2.1</v>
      </c>
      <c r="B4" s="37" t="s">
        <v>85</v>
      </c>
      <c r="C4" s="37"/>
      <c r="D4" s="38" t="s">
        <v>86</v>
      </c>
      <c r="E4" s="37" t="s">
        <v>84</v>
      </c>
      <c r="F4" s="37" t="s">
        <v>84</v>
      </c>
    </row>
    <row r="5" spans="1:6" ht="30" x14ac:dyDescent="0.25">
      <c r="A5" s="45" t="str">
        <f t="shared" si="0"/>
        <v>1.2.2</v>
      </c>
      <c r="B5" s="48" t="s">
        <v>87</v>
      </c>
      <c r="C5" s="48"/>
      <c r="D5" s="49" t="s">
        <v>88</v>
      </c>
      <c r="E5" s="48" t="s">
        <v>84</v>
      </c>
      <c r="F5" s="48" t="s">
        <v>84</v>
      </c>
    </row>
    <row r="6" spans="1:6" ht="30" x14ac:dyDescent="0.25">
      <c r="A6" s="45" t="str">
        <f t="shared" si="0"/>
        <v>1.2.3</v>
      </c>
      <c r="B6" s="39" t="s">
        <v>89</v>
      </c>
      <c r="C6" s="39"/>
      <c r="D6" s="40" t="s">
        <v>90</v>
      </c>
      <c r="E6" s="39" t="s">
        <v>84</v>
      </c>
      <c r="F6" s="39" t="s">
        <v>84</v>
      </c>
    </row>
    <row r="7" spans="1:6" ht="30" x14ac:dyDescent="0.25">
      <c r="A7" s="45" t="str">
        <f t="shared" si="0"/>
        <v>1.3</v>
      </c>
      <c r="B7" s="37" t="s">
        <v>91</v>
      </c>
      <c r="C7" s="37"/>
      <c r="D7" s="38" t="s">
        <v>50</v>
      </c>
      <c r="E7" s="37" t="s">
        <v>92</v>
      </c>
      <c r="F7" s="37" t="s">
        <v>93</v>
      </c>
    </row>
    <row r="8" spans="1:6" ht="30" x14ac:dyDescent="0.25">
      <c r="A8" s="45" t="str">
        <f t="shared" si="0"/>
        <v>1.3.1</v>
      </c>
      <c r="B8" s="48" t="s">
        <v>94</v>
      </c>
      <c r="C8" s="48"/>
      <c r="D8" s="49" t="s">
        <v>51</v>
      </c>
      <c r="E8" s="48" t="s">
        <v>92</v>
      </c>
      <c r="F8" s="48" t="s">
        <v>92</v>
      </c>
    </row>
    <row r="9" spans="1:6" ht="30" x14ac:dyDescent="0.25">
      <c r="A9" s="45" t="str">
        <f t="shared" si="0"/>
        <v>1.3.2</v>
      </c>
      <c r="B9" s="39" t="s">
        <v>95</v>
      </c>
      <c r="C9" s="39"/>
      <c r="D9" s="40" t="s">
        <v>52</v>
      </c>
      <c r="E9" s="39" t="s">
        <v>93</v>
      </c>
      <c r="F9" s="39" t="s">
        <v>93</v>
      </c>
    </row>
    <row r="10" spans="1:6" ht="30" x14ac:dyDescent="0.25">
      <c r="A10" s="45" t="str">
        <f t="shared" si="0"/>
        <v>1.4</v>
      </c>
      <c r="B10" s="37" t="s">
        <v>96</v>
      </c>
      <c r="C10" s="37"/>
      <c r="D10" s="38" t="s">
        <v>53</v>
      </c>
      <c r="E10" s="37" t="s">
        <v>97</v>
      </c>
      <c r="F10" s="37" t="s">
        <v>98</v>
      </c>
    </row>
    <row r="11" spans="1:6" ht="45" x14ac:dyDescent="0.25">
      <c r="A11" s="45" t="str">
        <f t="shared" si="0"/>
        <v>1.4.1</v>
      </c>
      <c r="B11" s="39" t="s">
        <v>99</v>
      </c>
      <c r="C11" s="39"/>
      <c r="D11" s="40" t="s">
        <v>54</v>
      </c>
      <c r="E11" s="39" t="s">
        <v>97</v>
      </c>
      <c r="F11" s="39" t="s">
        <v>100</v>
      </c>
    </row>
    <row r="12" spans="1:6" ht="45" x14ac:dyDescent="0.25">
      <c r="A12" s="45" t="str">
        <f t="shared" si="0"/>
        <v>1.4.2</v>
      </c>
      <c r="B12" s="37" t="s">
        <v>101</v>
      </c>
      <c r="C12" s="37"/>
      <c r="D12" s="38" t="s">
        <v>55</v>
      </c>
      <c r="E12" s="37" t="s">
        <v>102</v>
      </c>
      <c r="F12" s="37" t="s">
        <v>103</v>
      </c>
    </row>
    <row r="13" spans="1:6" ht="45" x14ac:dyDescent="0.25">
      <c r="A13" s="45" t="str">
        <f t="shared" si="0"/>
        <v>1.4.3</v>
      </c>
      <c r="B13" s="37" t="s">
        <v>104</v>
      </c>
      <c r="C13" s="37"/>
      <c r="D13" s="38" t="s">
        <v>56</v>
      </c>
      <c r="E13" s="37" t="s">
        <v>105</v>
      </c>
      <c r="F13" s="37" t="s">
        <v>98</v>
      </c>
    </row>
    <row r="14" spans="1:6" ht="30" x14ac:dyDescent="0.25">
      <c r="A14" s="45" t="str">
        <f t="shared" si="0"/>
        <v>1.4.3.1</v>
      </c>
      <c r="B14" s="37" t="s">
        <v>107</v>
      </c>
      <c r="C14" s="37"/>
      <c r="D14" s="38" t="s">
        <v>108</v>
      </c>
      <c r="E14" s="37" t="s">
        <v>105</v>
      </c>
      <c r="F14" s="37" t="s">
        <v>109</v>
      </c>
    </row>
    <row r="15" spans="1:6" ht="30" x14ac:dyDescent="0.25">
      <c r="A15" s="45" t="str">
        <f t="shared" si="0"/>
        <v>1.4.3.2</v>
      </c>
      <c r="B15" s="48" t="s">
        <v>111</v>
      </c>
      <c r="C15" s="48"/>
      <c r="D15" s="49" t="s">
        <v>112</v>
      </c>
      <c r="E15" s="48" t="s">
        <v>113</v>
      </c>
      <c r="F15" s="48" t="s">
        <v>114</v>
      </c>
    </row>
    <row r="16" spans="1:6" ht="30" x14ac:dyDescent="0.25">
      <c r="A16" s="45" t="str">
        <f t="shared" si="0"/>
        <v>1.4.3.3</v>
      </c>
      <c r="B16" s="39" t="s">
        <v>116</v>
      </c>
      <c r="C16" s="39"/>
      <c r="D16" s="40" t="s">
        <v>117</v>
      </c>
      <c r="E16" s="39" t="s">
        <v>118</v>
      </c>
      <c r="F16" s="39" t="s">
        <v>98</v>
      </c>
    </row>
    <row r="17" spans="1:6" ht="30" x14ac:dyDescent="0.25">
      <c r="A17" s="45" t="str">
        <f t="shared" si="0"/>
        <v>1.5</v>
      </c>
      <c r="B17" s="37" t="s">
        <v>119</v>
      </c>
      <c r="C17" s="37"/>
      <c r="D17" s="38" t="s">
        <v>57</v>
      </c>
      <c r="E17" s="37" t="s">
        <v>120</v>
      </c>
      <c r="F17" s="37" t="s">
        <v>121</v>
      </c>
    </row>
    <row r="18" spans="1:6" ht="60" x14ac:dyDescent="0.25">
      <c r="A18" s="45" t="str">
        <f t="shared" si="0"/>
        <v>1.5.1</v>
      </c>
      <c r="B18" s="37" t="s">
        <v>122</v>
      </c>
      <c r="C18" s="37"/>
      <c r="D18" s="38" t="s">
        <v>58</v>
      </c>
      <c r="E18" s="37" t="s">
        <v>120</v>
      </c>
      <c r="F18" s="37" t="s">
        <v>123</v>
      </c>
    </row>
    <row r="19" spans="1:6" ht="30" x14ac:dyDescent="0.25">
      <c r="A19" s="45" t="str">
        <f t="shared" si="0"/>
        <v>1.5.2</v>
      </c>
      <c r="B19" s="37" t="s">
        <v>124</v>
      </c>
      <c r="C19" s="37"/>
      <c r="D19" s="38" t="s">
        <v>59</v>
      </c>
      <c r="E19" s="37" t="s">
        <v>125</v>
      </c>
      <c r="F19" s="37" t="s">
        <v>126</v>
      </c>
    </row>
    <row r="20" spans="1:6" ht="30" x14ac:dyDescent="0.25">
      <c r="A20" s="45" t="str">
        <f t="shared" si="0"/>
        <v>1.5.3</v>
      </c>
      <c r="B20" s="48" t="s">
        <v>127</v>
      </c>
      <c r="C20" s="48"/>
      <c r="D20" s="49" t="s">
        <v>63</v>
      </c>
      <c r="E20" s="48" t="s">
        <v>128</v>
      </c>
      <c r="F20" s="48" t="s">
        <v>129</v>
      </c>
    </row>
    <row r="21" spans="1:6" ht="45" x14ac:dyDescent="0.25">
      <c r="A21" s="45" t="str">
        <f t="shared" si="0"/>
        <v>1.5.4</v>
      </c>
      <c r="B21" s="39" t="s">
        <v>131</v>
      </c>
      <c r="C21" s="39"/>
      <c r="D21" s="40" t="s">
        <v>132</v>
      </c>
      <c r="E21" s="39" t="s">
        <v>133</v>
      </c>
      <c r="F21" s="39" t="s">
        <v>121</v>
      </c>
    </row>
    <row r="22" spans="1:6" ht="30" x14ac:dyDescent="0.25">
      <c r="A22" s="45" t="str">
        <f t="shared" si="0"/>
        <v>1.6</v>
      </c>
      <c r="B22" s="37" t="s">
        <v>4</v>
      </c>
      <c r="C22" s="37"/>
      <c r="D22" s="38" t="s">
        <v>135</v>
      </c>
      <c r="E22" s="37" t="s">
        <v>136</v>
      </c>
      <c r="F22" s="37" t="s">
        <v>137</v>
      </c>
    </row>
    <row r="23" spans="1:6" x14ac:dyDescent="0.25">
      <c r="A23" s="45" t="str">
        <f t="shared" si="0"/>
        <v>1.6.1</v>
      </c>
      <c r="B23" s="50" t="s">
        <v>139</v>
      </c>
      <c r="C23" s="50"/>
      <c r="D23" s="51" t="s">
        <v>140</v>
      </c>
      <c r="E23" s="50" t="s">
        <v>136</v>
      </c>
      <c r="F23" s="50" t="s">
        <v>136</v>
      </c>
    </row>
    <row r="24" spans="1:6" x14ac:dyDescent="0.25">
      <c r="A24" s="45" t="str">
        <f t="shared" si="0"/>
        <v>1.6.2</v>
      </c>
      <c r="B24" s="50" t="s">
        <v>142</v>
      </c>
      <c r="C24" s="50"/>
      <c r="D24" s="51" t="s">
        <v>143</v>
      </c>
      <c r="E24" s="50" t="s">
        <v>137</v>
      </c>
      <c r="F24" s="50" t="s">
        <v>137</v>
      </c>
    </row>
    <row r="25" spans="1:6" x14ac:dyDescent="0.25">
      <c r="B25" s="41"/>
      <c r="C25" s="41"/>
      <c r="D25" s="42"/>
      <c r="E25" s="41"/>
      <c r="F25" s="41"/>
    </row>
    <row r="26" spans="1:6" x14ac:dyDescent="0.25">
      <c r="B26" s="41"/>
      <c r="C26" s="41"/>
      <c r="D26" s="42"/>
      <c r="E26" s="41"/>
      <c r="F26" s="4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Q60"/>
  <sheetViews>
    <sheetView tabSelected="1" workbookViewId="0">
      <selection activeCell="F18" sqref="F18"/>
    </sheetView>
  </sheetViews>
  <sheetFormatPr baseColWidth="10" defaultColWidth="11.5703125" defaultRowHeight="12.75" x14ac:dyDescent="0.2"/>
  <cols>
    <col min="1" max="1" width="15.7109375" style="8" customWidth="1"/>
    <col min="2" max="2" width="31.42578125" style="7" customWidth="1"/>
    <col min="3" max="3" width="11.5703125" style="26"/>
    <col min="4" max="4" width="11.5703125" style="57"/>
    <col min="5" max="8" width="11.5703125" style="36"/>
    <col min="9" max="13" width="11.5703125" style="32"/>
    <col min="14" max="14" width="11.5703125" style="5"/>
    <col min="15" max="16384" width="11.5703125" style="4"/>
  </cols>
  <sheetData>
    <row r="1" spans="1:17" ht="20.25" x14ac:dyDescent="0.3">
      <c r="A1" s="16" t="s">
        <v>22</v>
      </c>
      <c r="B1" s="4"/>
      <c r="C1" s="24"/>
      <c r="D1" s="55"/>
      <c r="E1" s="34"/>
      <c r="F1" s="34"/>
      <c r="G1" s="34"/>
      <c r="H1" s="34"/>
      <c r="I1" s="29"/>
      <c r="J1" s="29"/>
      <c r="K1" s="29"/>
      <c r="L1" s="29"/>
      <c r="M1" s="29"/>
    </row>
    <row r="2" spans="1:17" ht="80.45" customHeight="1" x14ac:dyDescent="0.2">
      <c r="A2" s="58" t="s">
        <v>45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7" ht="25.15" customHeight="1" x14ac:dyDescent="0.2">
      <c r="A3" s="18"/>
      <c r="B3" s="19"/>
      <c r="C3" s="19"/>
      <c r="D3" s="54" t="s">
        <v>67</v>
      </c>
      <c r="E3" s="43" t="s">
        <v>153</v>
      </c>
      <c r="F3" s="43" t="s">
        <v>154</v>
      </c>
      <c r="G3" s="43" t="s">
        <v>149</v>
      </c>
      <c r="H3" s="43" t="s">
        <v>150</v>
      </c>
      <c r="I3" s="44" t="s">
        <v>151</v>
      </c>
      <c r="J3" s="44" t="s">
        <v>152</v>
      </c>
      <c r="K3" s="30" t="s">
        <v>61</v>
      </c>
      <c r="L3" s="30"/>
      <c r="M3" s="30"/>
    </row>
    <row r="4" spans="1:17" x14ac:dyDescent="0.2">
      <c r="A4" s="1" t="s">
        <v>19</v>
      </c>
      <c r="B4" s="2" t="s">
        <v>0</v>
      </c>
      <c r="C4" s="25" t="s">
        <v>21</v>
      </c>
      <c r="D4" s="1" t="s">
        <v>24</v>
      </c>
      <c r="E4" s="35" t="s">
        <v>25</v>
      </c>
      <c r="F4" s="35" t="s">
        <v>26</v>
      </c>
      <c r="G4" s="35" t="s">
        <v>27</v>
      </c>
      <c r="H4" s="35" t="s">
        <v>28</v>
      </c>
      <c r="I4" s="31" t="s">
        <v>68</v>
      </c>
      <c r="J4" s="31" t="s">
        <v>69</v>
      </c>
      <c r="K4" s="31" t="s">
        <v>70</v>
      </c>
      <c r="L4" s="31" t="s">
        <v>71</v>
      </c>
      <c r="M4" s="31" t="s">
        <v>72</v>
      </c>
      <c r="N4" s="6"/>
      <c r="O4" s="3" t="s">
        <v>17</v>
      </c>
      <c r="P4" s="3" t="s">
        <v>18</v>
      </c>
      <c r="Q4" s="3" t="s">
        <v>20</v>
      </c>
    </row>
    <row r="5" spans="1:17" x14ac:dyDescent="0.2">
      <c r="A5" s="8">
        <v>1</v>
      </c>
      <c r="B5" s="7" t="s">
        <v>172</v>
      </c>
      <c r="C5" s="26">
        <v>0.5</v>
      </c>
      <c r="D5" s="8"/>
      <c r="M5" s="33"/>
      <c r="O5" s="4">
        <v>783.27001190185558</v>
      </c>
      <c r="P5" s="4">
        <v>160.04999542236328</v>
      </c>
      <c r="Q5" s="4">
        <v>6</v>
      </c>
    </row>
    <row r="6" spans="1:17" x14ac:dyDescent="0.2">
      <c r="A6" s="8" t="s">
        <v>192</v>
      </c>
      <c r="B6" s="7" t="s">
        <v>173</v>
      </c>
      <c r="C6" s="26">
        <v>0.5</v>
      </c>
      <c r="D6" s="56">
        <v>1</v>
      </c>
      <c r="E6" s="36">
        <v>43850</v>
      </c>
      <c r="F6" s="36">
        <v>43850</v>
      </c>
      <c r="G6" s="36">
        <v>43850</v>
      </c>
      <c r="M6" s="33"/>
      <c r="O6" s="4">
        <v>69.420001983642578</v>
      </c>
      <c r="P6" s="4">
        <v>320.60998992919923</v>
      </c>
      <c r="Q6" s="4">
        <v>3</v>
      </c>
    </row>
    <row r="7" spans="1:17" x14ac:dyDescent="0.2">
      <c r="A7" s="8" t="s">
        <v>193</v>
      </c>
      <c r="B7" s="7" t="s">
        <v>174</v>
      </c>
      <c r="C7" s="26">
        <v>1</v>
      </c>
      <c r="D7" s="8" t="s">
        <v>192</v>
      </c>
      <c r="E7" s="36">
        <v>43850</v>
      </c>
      <c r="F7" s="36">
        <v>43852</v>
      </c>
      <c r="G7" s="36">
        <v>43850</v>
      </c>
      <c r="H7" s="36">
        <v>43853</v>
      </c>
      <c r="I7" s="32">
        <v>4</v>
      </c>
      <c r="J7" s="32">
        <v>8</v>
      </c>
      <c r="M7" s="33"/>
      <c r="O7" s="4">
        <v>69.420001983642578</v>
      </c>
      <c r="P7" s="4">
        <v>218.3699935913086</v>
      </c>
      <c r="Q7" s="4">
        <v>0</v>
      </c>
    </row>
    <row r="8" spans="1:17" x14ac:dyDescent="0.2">
      <c r="A8" s="8" t="s">
        <v>195</v>
      </c>
      <c r="B8" s="7" t="s">
        <v>156</v>
      </c>
      <c r="C8" s="26">
        <v>0.5</v>
      </c>
      <c r="D8" s="8" t="s">
        <v>1</v>
      </c>
      <c r="E8" s="36">
        <v>43850</v>
      </c>
      <c r="F8" s="36">
        <v>43852</v>
      </c>
      <c r="G8" s="36">
        <v>43970</v>
      </c>
      <c r="I8" s="32">
        <v>16</v>
      </c>
      <c r="J8" s="32">
        <v>4</v>
      </c>
      <c r="M8" s="33"/>
      <c r="O8" s="4">
        <v>69.420001983642578</v>
      </c>
      <c r="P8" s="4">
        <v>269.48999176025393</v>
      </c>
      <c r="Q8" s="4">
        <v>0</v>
      </c>
    </row>
    <row r="9" spans="1:17" x14ac:dyDescent="0.2">
      <c r="A9" s="8" t="s">
        <v>194</v>
      </c>
      <c r="B9" s="7" t="s">
        <v>157</v>
      </c>
      <c r="C9" s="26">
        <v>0.5</v>
      </c>
      <c r="D9" s="8" t="s">
        <v>2</v>
      </c>
      <c r="E9" s="36">
        <v>43850</v>
      </c>
      <c r="F9" s="36">
        <v>43863</v>
      </c>
      <c r="G9" s="36">
        <v>43959</v>
      </c>
      <c r="I9" s="32">
        <v>8</v>
      </c>
      <c r="J9" s="32">
        <v>2</v>
      </c>
      <c r="M9" s="33"/>
      <c r="O9" s="4">
        <v>69.420001983642578</v>
      </c>
      <c r="P9" s="4">
        <v>320.60998992919923</v>
      </c>
      <c r="Q9" s="4">
        <v>0</v>
      </c>
    </row>
    <row r="10" spans="1:17" x14ac:dyDescent="0.2">
      <c r="A10" s="8" t="s">
        <v>1</v>
      </c>
      <c r="B10" s="7" t="s">
        <v>175</v>
      </c>
      <c r="C10" s="26">
        <v>1</v>
      </c>
      <c r="D10" s="8" t="s">
        <v>49</v>
      </c>
      <c r="E10" s="36">
        <v>43864</v>
      </c>
      <c r="G10" s="36">
        <v>43865</v>
      </c>
      <c r="M10" s="33"/>
      <c r="O10" s="4">
        <v>142.77000198364257</v>
      </c>
      <c r="P10" s="4">
        <v>160.04999542236328</v>
      </c>
      <c r="Q10" s="4">
        <v>0</v>
      </c>
    </row>
    <row r="11" spans="1:17" x14ac:dyDescent="0.2">
      <c r="A11" s="8" t="s">
        <v>2</v>
      </c>
      <c r="B11" s="7" t="s">
        <v>158</v>
      </c>
      <c r="C11" s="26">
        <v>1</v>
      </c>
      <c r="D11" s="8" t="s">
        <v>50</v>
      </c>
      <c r="E11" s="36">
        <v>43864</v>
      </c>
      <c r="F11" s="36">
        <v>43864</v>
      </c>
      <c r="G11" s="36">
        <v>43864</v>
      </c>
      <c r="H11" s="36">
        <v>43864</v>
      </c>
      <c r="I11" s="32">
        <v>4</v>
      </c>
      <c r="J11" s="32">
        <v>3</v>
      </c>
      <c r="M11" s="33"/>
      <c r="O11" s="4">
        <v>354.96000595092772</v>
      </c>
      <c r="P11" s="4">
        <v>269.48999176025393</v>
      </c>
      <c r="Q11" s="4">
        <v>2</v>
      </c>
    </row>
    <row r="12" spans="1:17" x14ac:dyDescent="0.2">
      <c r="A12" s="8" t="s">
        <v>9</v>
      </c>
      <c r="B12" s="7" t="s">
        <v>176</v>
      </c>
      <c r="C12" s="26">
        <v>1</v>
      </c>
      <c r="D12" s="8" t="s">
        <v>51</v>
      </c>
      <c r="E12" s="36">
        <v>43864</v>
      </c>
      <c r="F12" s="36">
        <v>43864</v>
      </c>
      <c r="G12" s="36">
        <v>43864</v>
      </c>
      <c r="H12" s="36">
        <v>43864</v>
      </c>
      <c r="I12" s="32">
        <v>4</v>
      </c>
      <c r="J12" s="32">
        <v>3</v>
      </c>
      <c r="M12" s="33"/>
      <c r="O12" s="4">
        <v>354.96000595092772</v>
      </c>
      <c r="P12" s="4">
        <v>218.3699935913086</v>
      </c>
      <c r="Q12" s="4">
        <v>0</v>
      </c>
    </row>
    <row r="13" spans="1:17" x14ac:dyDescent="0.2">
      <c r="A13" s="8" t="s">
        <v>10</v>
      </c>
      <c r="B13" s="7" t="s">
        <v>196</v>
      </c>
      <c r="C13" s="26">
        <v>1</v>
      </c>
      <c r="D13" s="8" t="s">
        <v>52</v>
      </c>
      <c r="E13" s="36">
        <v>43865</v>
      </c>
      <c r="F13" s="36">
        <v>43864</v>
      </c>
      <c r="G13" s="36">
        <v>43865</v>
      </c>
      <c r="H13" s="36">
        <v>43864</v>
      </c>
      <c r="I13" s="32">
        <v>2</v>
      </c>
      <c r="J13" s="32">
        <v>3</v>
      </c>
      <c r="M13" s="33"/>
      <c r="O13" s="4">
        <v>354.96000595092772</v>
      </c>
      <c r="P13" s="4">
        <v>269.48999176025393</v>
      </c>
      <c r="Q13" s="4">
        <v>0</v>
      </c>
    </row>
    <row r="14" spans="1:17" x14ac:dyDescent="0.2">
      <c r="A14" s="8" t="s">
        <v>3</v>
      </c>
      <c r="B14" s="7" t="s">
        <v>177</v>
      </c>
      <c r="C14" s="26">
        <v>0.5</v>
      </c>
      <c r="D14" s="8" t="s">
        <v>53</v>
      </c>
      <c r="E14" s="36">
        <v>43866</v>
      </c>
      <c r="G14" s="36">
        <v>43948</v>
      </c>
      <c r="M14" s="33"/>
      <c r="O14" s="4">
        <v>497.73000793457032</v>
      </c>
      <c r="P14" s="4">
        <v>473.96998443603513</v>
      </c>
      <c r="Q14" s="4">
        <v>3</v>
      </c>
    </row>
    <row r="15" spans="1:17" x14ac:dyDescent="0.2">
      <c r="A15" s="8" t="s">
        <v>11</v>
      </c>
      <c r="B15" s="7" t="s">
        <v>178</v>
      </c>
      <c r="C15" s="26">
        <v>1</v>
      </c>
      <c r="D15" s="8" t="s">
        <v>54</v>
      </c>
      <c r="E15" s="36">
        <v>43866</v>
      </c>
      <c r="F15" s="36">
        <v>43865</v>
      </c>
      <c r="G15" s="36">
        <v>43872</v>
      </c>
      <c r="H15" s="36">
        <v>43872</v>
      </c>
      <c r="I15" s="32">
        <v>35</v>
      </c>
      <c r="J15" s="32">
        <v>37</v>
      </c>
      <c r="M15" s="33"/>
      <c r="O15" s="4">
        <v>497.73000793457032</v>
      </c>
      <c r="P15" s="4">
        <v>473.96998443603513</v>
      </c>
      <c r="Q15" s="4">
        <v>3</v>
      </c>
    </row>
    <row r="16" spans="1:17" x14ac:dyDescent="0.2">
      <c r="A16" s="8" t="s">
        <v>12</v>
      </c>
      <c r="B16" s="7" t="s">
        <v>179</v>
      </c>
      <c r="C16" s="26">
        <v>1</v>
      </c>
      <c r="D16" s="8" t="s">
        <v>55</v>
      </c>
      <c r="E16" s="36">
        <v>43873</v>
      </c>
      <c r="F16" s="36">
        <v>43873</v>
      </c>
      <c r="G16" s="36">
        <v>43886</v>
      </c>
      <c r="H16" s="36">
        <v>43884</v>
      </c>
      <c r="I16" s="32">
        <v>70</v>
      </c>
      <c r="J16" s="32">
        <v>78</v>
      </c>
      <c r="M16" s="33"/>
      <c r="O16" s="4">
        <v>497.73000793457032</v>
      </c>
      <c r="P16" s="4">
        <v>473.96998443603513</v>
      </c>
      <c r="Q16" s="4">
        <v>3</v>
      </c>
    </row>
    <row r="17" spans="1:17" x14ac:dyDescent="0.2">
      <c r="A17" s="8" t="s">
        <v>13</v>
      </c>
      <c r="B17" s="7" t="s">
        <v>180</v>
      </c>
      <c r="C17" s="26">
        <v>0.5</v>
      </c>
      <c r="D17" s="8" t="s">
        <v>56</v>
      </c>
      <c r="E17" s="36">
        <v>43887</v>
      </c>
      <c r="G17" s="36">
        <v>43948</v>
      </c>
      <c r="M17" s="33"/>
      <c r="O17" s="4">
        <v>567.15000991821296</v>
      </c>
      <c r="P17" s="4">
        <v>473.96998443603513</v>
      </c>
      <c r="Q17" s="4">
        <v>3</v>
      </c>
    </row>
    <row r="18" spans="1:17" x14ac:dyDescent="0.2">
      <c r="A18" s="8" t="s">
        <v>106</v>
      </c>
      <c r="B18" s="7" t="s">
        <v>181</v>
      </c>
      <c r="C18" s="26">
        <v>1</v>
      </c>
      <c r="D18" s="8" t="s">
        <v>108</v>
      </c>
      <c r="E18" s="36">
        <v>43887</v>
      </c>
      <c r="F18" s="36">
        <v>43886</v>
      </c>
      <c r="G18" s="36">
        <v>43888</v>
      </c>
      <c r="H18" s="36">
        <v>43887</v>
      </c>
      <c r="I18" s="32">
        <v>8</v>
      </c>
      <c r="J18" s="32">
        <v>8</v>
      </c>
      <c r="M18" s="33"/>
      <c r="O18" s="4">
        <v>567.15000991821296</v>
      </c>
      <c r="P18" s="4">
        <v>473.96998443603513</v>
      </c>
      <c r="Q18" s="4">
        <v>3</v>
      </c>
    </row>
    <row r="19" spans="1:17" x14ac:dyDescent="0.2">
      <c r="A19" s="8" t="s">
        <v>110</v>
      </c>
      <c r="B19" s="7" t="s">
        <v>182</v>
      </c>
      <c r="C19" s="26">
        <v>0.5</v>
      </c>
      <c r="D19" s="8" t="s">
        <v>112</v>
      </c>
      <c r="E19" s="36">
        <v>43889</v>
      </c>
      <c r="F19" s="36">
        <v>43889</v>
      </c>
      <c r="G19" s="36">
        <v>43944</v>
      </c>
      <c r="H19" s="36">
        <v>43936</v>
      </c>
      <c r="I19" s="32">
        <v>12</v>
      </c>
      <c r="J19" s="32">
        <v>6</v>
      </c>
      <c r="M19" s="33"/>
      <c r="O19" s="4">
        <v>567.15000991821296</v>
      </c>
      <c r="P19" s="4">
        <v>473.96998443603513</v>
      </c>
      <c r="Q19" s="4">
        <v>3</v>
      </c>
    </row>
    <row r="20" spans="1:17" x14ac:dyDescent="0.2">
      <c r="A20" s="8" t="s">
        <v>115</v>
      </c>
      <c r="B20" s="7" t="s">
        <v>183</v>
      </c>
      <c r="C20" s="26">
        <v>0</v>
      </c>
      <c r="D20" s="8" t="s">
        <v>117</v>
      </c>
      <c r="E20" s="36">
        <v>43945</v>
      </c>
      <c r="G20" s="36">
        <v>43948</v>
      </c>
      <c r="I20" s="32">
        <v>8</v>
      </c>
      <c r="M20" s="33"/>
      <c r="O20" s="4">
        <v>567.15000991821296</v>
      </c>
      <c r="P20" s="4">
        <v>473.96998443603513</v>
      </c>
      <c r="Q20" s="4">
        <v>0</v>
      </c>
    </row>
    <row r="21" spans="1:17" x14ac:dyDescent="0.2">
      <c r="A21" s="8" t="s">
        <v>5</v>
      </c>
      <c r="B21" s="7" t="s">
        <v>184</v>
      </c>
      <c r="C21" s="26">
        <v>0.5</v>
      </c>
      <c r="D21" s="8" t="s">
        <v>57</v>
      </c>
      <c r="E21" s="36">
        <v>43949</v>
      </c>
      <c r="G21" s="36">
        <v>43970</v>
      </c>
      <c r="M21" s="33"/>
      <c r="O21" s="4">
        <v>709.92001190185556</v>
      </c>
      <c r="P21" s="4">
        <v>371.72998809814453</v>
      </c>
      <c r="Q21" s="4">
        <v>4</v>
      </c>
    </row>
    <row r="22" spans="1:17" x14ac:dyDescent="0.2">
      <c r="A22" s="8" t="s">
        <v>14</v>
      </c>
      <c r="B22" s="7" t="s">
        <v>185</v>
      </c>
      <c r="C22" s="26">
        <v>0.5</v>
      </c>
      <c r="D22" s="8" t="s">
        <v>58</v>
      </c>
      <c r="E22" s="36">
        <v>43949</v>
      </c>
      <c r="G22" s="36">
        <v>43950</v>
      </c>
      <c r="I22" s="32">
        <v>12</v>
      </c>
      <c r="M22" s="33"/>
      <c r="O22" s="4">
        <v>709.92001190185556</v>
      </c>
      <c r="P22" s="4">
        <v>218.3699935913086</v>
      </c>
      <c r="Q22" s="4">
        <v>0</v>
      </c>
    </row>
    <row r="23" spans="1:17" x14ac:dyDescent="0.2">
      <c r="A23" s="8" t="s">
        <v>15</v>
      </c>
      <c r="B23" s="7" t="s">
        <v>186</v>
      </c>
      <c r="C23" s="26">
        <v>0</v>
      </c>
      <c r="D23" s="8" t="s">
        <v>59</v>
      </c>
      <c r="E23" s="36">
        <v>43951</v>
      </c>
      <c r="F23" s="36">
        <v>43925</v>
      </c>
      <c r="G23" s="36">
        <v>43958</v>
      </c>
      <c r="I23" s="32">
        <v>50</v>
      </c>
      <c r="J23" s="32">
        <v>6</v>
      </c>
      <c r="M23" s="33"/>
      <c r="O23" s="4">
        <v>709.92001190185556</v>
      </c>
      <c r="P23" s="4">
        <v>269.48999176025393</v>
      </c>
      <c r="Q23" s="4">
        <v>0</v>
      </c>
    </row>
    <row r="24" spans="1:17" x14ac:dyDescent="0.2">
      <c r="A24" s="8" t="s">
        <v>60</v>
      </c>
      <c r="B24" s="7" t="s">
        <v>187</v>
      </c>
      <c r="C24" s="26">
        <v>0</v>
      </c>
      <c r="D24" s="8" t="s">
        <v>63</v>
      </c>
      <c r="E24" s="36">
        <v>43959</v>
      </c>
      <c r="G24" s="36">
        <v>43965</v>
      </c>
      <c r="I24" s="32">
        <v>40</v>
      </c>
      <c r="M24" s="33"/>
      <c r="O24" s="4">
        <v>709.92001190185556</v>
      </c>
      <c r="P24" s="4">
        <v>320.60998992919923</v>
      </c>
      <c r="Q24" s="4">
        <v>0</v>
      </c>
    </row>
    <row r="25" spans="1:17" x14ac:dyDescent="0.2">
      <c r="A25" s="8" t="s">
        <v>130</v>
      </c>
      <c r="B25" s="7" t="s">
        <v>188</v>
      </c>
      <c r="C25" s="26">
        <v>0</v>
      </c>
      <c r="D25" s="8" t="s">
        <v>132</v>
      </c>
      <c r="E25" s="36">
        <v>43966</v>
      </c>
      <c r="G25" s="36">
        <v>43970</v>
      </c>
      <c r="I25" s="32">
        <v>15</v>
      </c>
      <c r="M25" s="33"/>
      <c r="O25" s="4">
        <v>709.92001190185556</v>
      </c>
      <c r="P25" s="4">
        <v>371.72998809814453</v>
      </c>
      <c r="Q25" s="4">
        <v>0</v>
      </c>
    </row>
    <row r="26" spans="1:17" x14ac:dyDescent="0.2">
      <c r="A26" s="8" t="s">
        <v>134</v>
      </c>
      <c r="B26" s="7" t="s">
        <v>189</v>
      </c>
      <c r="C26" s="26">
        <v>0</v>
      </c>
      <c r="D26" s="8" t="s">
        <v>135</v>
      </c>
      <c r="E26" s="36">
        <v>43971</v>
      </c>
      <c r="G26" s="36">
        <v>43972</v>
      </c>
      <c r="M26" s="33"/>
      <c r="O26" s="4">
        <v>852.69001388549816</v>
      </c>
      <c r="P26" s="4">
        <v>269.48999176025393</v>
      </c>
      <c r="Q26" s="4">
        <v>2</v>
      </c>
    </row>
    <row r="27" spans="1:17" x14ac:dyDescent="0.2">
      <c r="A27" s="8" t="s">
        <v>138</v>
      </c>
      <c r="B27" s="7" t="s">
        <v>16</v>
      </c>
      <c r="C27" s="26">
        <v>0</v>
      </c>
      <c r="D27" s="8" t="s">
        <v>140</v>
      </c>
      <c r="E27" s="36">
        <v>43971</v>
      </c>
      <c r="G27" s="36">
        <v>43971</v>
      </c>
      <c r="I27" s="32">
        <v>8</v>
      </c>
      <c r="M27" s="33"/>
      <c r="O27" s="4">
        <v>852.69001388549816</v>
      </c>
      <c r="P27" s="4">
        <v>218.3699935913086</v>
      </c>
      <c r="Q27" s="4">
        <v>0</v>
      </c>
    </row>
    <row r="28" spans="1:17" x14ac:dyDescent="0.2">
      <c r="A28" s="8" t="s">
        <v>141</v>
      </c>
      <c r="B28" s="7" t="s">
        <v>190</v>
      </c>
      <c r="C28" s="26">
        <v>0</v>
      </c>
      <c r="D28" s="8" t="s">
        <v>143</v>
      </c>
      <c r="E28" s="36">
        <v>43972</v>
      </c>
      <c r="G28" s="36">
        <v>43972</v>
      </c>
      <c r="I28" s="32">
        <v>4</v>
      </c>
      <c r="M28" s="33"/>
      <c r="O28" s="4">
        <v>852.69001388549816</v>
      </c>
      <c r="P28" s="4">
        <v>269.48999176025393</v>
      </c>
      <c r="Q28" s="4">
        <v>0</v>
      </c>
    </row>
    <row r="29" spans="1:17" x14ac:dyDescent="0.2">
      <c r="D29" s="8"/>
      <c r="M29" s="33"/>
      <c r="O29" s="4">
        <v>0</v>
      </c>
      <c r="P29" s="4">
        <v>62.849998474121094</v>
      </c>
      <c r="Q29" s="4">
        <v>1</v>
      </c>
    </row>
    <row r="36" spans="1:2" x14ac:dyDescent="0.2">
      <c r="A36" s="53" t="s">
        <v>171</v>
      </c>
    </row>
    <row r="38" spans="1:2" x14ac:dyDescent="0.2">
      <c r="A38" s="8">
        <v>1</v>
      </c>
      <c r="B38" s="7" t="s">
        <v>144</v>
      </c>
    </row>
    <row r="39" spans="1:2" x14ac:dyDescent="0.2">
      <c r="A39" s="8" t="s">
        <v>1</v>
      </c>
      <c r="B39" s="7" t="s">
        <v>83</v>
      </c>
    </row>
    <row r="40" spans="1:2" x14ac:dyDescent="0.2">
      <c r="A40" s="8" t="s">
        <v>6</v>
      </c>
      <c r="B40" s="7" t="s">
        <v>155</v>
      </c>
    </row>
    <row r="41" spans="1:2" x14ac:dyDescent="0.2">
      <c r="A41" s="8" t="s">
        <v>7</v>
      </c>
      <c r="B41" s="7" t="s">
        <v>156</v>
      </c>
    </row>
    <row r="42" spans="1:2" x14ac:dyDescent="0.2">
      <c r="A42" s="8" t="s">
        <v>8</v>
      </c>
      <c r="B42" s="7" t="s">
        <v>157</v>
      </c>
    </row>
    <row r="43" spans="1:2" x14ac:dyDescent="0.2">
      <c r="A43" s="8" t="s">
        <v>2</v>
      </c>
      <c r="B43" s="7" t="s">
        <v>91</v>
      </c>
    </row>
    <row r="44" spans="1:2" x14ac:dyDescent="0.2">
      <c r="A44" s="8" t="s">
        <v>9</v>
      </c>
      <c r="B44" s="7" t="s">
        <v>158</v>
      </c>
    </row>
    <row r="45" spans="1:2" x14ac:dyDescent="0.2">
      <c r="A45" s="8" t="s">
        <v>10</v>
      </c>
      <c r="B45" s="7" t="s">
        <v>159</v>
      </c>
    </row>
    <row r="46" spans="1:2" x14ac:dyDescent="0.2">
      <c r="A46" s="8" t="s">
        <v>3</v>
      </c>
      <c r="B46" s="7" t="s">
        <v>96</v>
      </c>
    </row>
    <row r="47" spans="1:2" x14ac:dyDescent="0.2">
      <c r="A47" s="8" t="s">
        <v>11</v>
      </c>
      <c r="B47" s="7" t="s">
        <v>160</v>
      </c>
    </row>
    <row r="48" spans="1:2" x14ac:dyDescent="0.2">
      <c r="A48" s="8" t="s">
        <v>12</v>
      </c>
      <c r="B48" s="7" t="s">
        <v>161</v>
      </c>
    </row>
    <row r="49" spans="1:2" x14ac:dyDescent="0.2">
      <c r="A49" s="8" t="s">
        <v>13</v>
      </c>
      <c r="B49" s="7" t="s">
        <v>162</v>
      </c>
    </row>
    <row r="50" spans="1:2" x14ac:dyDescent="0.2">
      <c r="A50" s="8" t="s">
        <v>106</v>
      </c>
      <c r="B50" s="7" t="s">
        <v>163</v>
      </c>
    </row>
    <row r="51" spans="1:2" x14ac:dyDescent="0.2">
      <c r="A51" s="8" t="s">
        <v>110</v>
      </c>
      <c r="B51" s="7" t="s">
        <v>164</v>
      </c>
    </row>
    <row r="52" spans="1:2" x14ac:dyDescent="0.2">
      <c r="A52" s="8" t="s">
        <v>115</v>
      </c>
      <c r="B52" s="7" t="s">
        <v>165</v>
      </c>
    </row>
    <row r="53" spans="1:2" x14ac:dyDescent="0.2">
      <c r="A53" s="8" t="s">
        <v>5</v>
      </c>
      <c r="B53" s="7" t="s">
        <v>119</v>
      </c>
    </row>
    <row r="54" spans="1:2" x14ac:dyDescent="0.2">
      <c r="A54" s="8" t="s">
        <v>14</v>
      </c>
      <c r="B54" s="7" t="s">
        <v>166</v>
      </c>
    </row>
    <row r="55" spans="1:2" x14ac:dyDescent="0.2">
      <c r="A55" s="8" t="s">
        <v>15</v>
      </c>
      <c r="B55" s="7" t="s">
        <v>167</v>
      </c>
    </row>
    <row r="56" spans="1:2" x14ac:dyDescent="0.2">
      <c r="A56" s="8" t="s">
        <v>60</v>
      </c>
      <c r="B56" s="7" t="s">
        <v>168</v>
      </c>
    </row>
    <row r="57" spans="1:2" x14ac:dyDescent="0.2">
      <c r="A57" s="8" t="s">
        <v>130</v>
      </c>
      <c r="B57" s="7" t="s">
        <v>169</v>
      </c>
    </row>
    <row r="58" spans="1:2" x14ac:dyDescent="0.2">
      <c r="A58" s="8" t="s">
        <v>134</v>
      </c>
      <c r="B58" s="7" t="s">
        <v>4</v>
      </c>
    </row>
    <row r="59" spans="1:2" x14ac:dyDescent="0.2">
      <c r="A59" s="8" t="s">
        <v>138</v>
      </c>
      <c r="B59" s="7" t="s">
        <v>16</v>
      </c>
    </row>
    <row r="60" spans="1:2" x14ac:dyDescent="0.2">
      <c r="A60" s="8" t="s">
        <v>141</v>
      </c>
      <c r="B60" s="7" t="s">
        <v>170</v>
      </c>
    </row>
  </sheetData>
  <autoFilter ref="A4:M35" xr:uid="{00000000-0009-0000-0000-000001000000}">
    <sortState xmlns:xlrd2="http://schemas.microsoft.com/office/spreadsheetml/2017/richdata2" ref="A5:M46">
      <sortCondition ref="A4:A35"/>
    </sortState>
  </autoFilter>
  <sortState xmlns:xlrd2="http://schemas.microsoft.com/office/spreadsheetml/2017/richdata2" ref="A5:P29">
    <sortCondition ref="A5:A29"/>
  </sortState>
  <mergeCells count="1">
    <mergeCell ref="A2:M2"/>
  </mergeCells>
  <phoneticPr fontId="2" type="noConversion"/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L40"/>
  <sheetViews>
    <sheetView workbookViewId="0">
      <selection activeCell="L11" sqref="L11"/>
    </sheetView>
  </sheetViews>
  <sheetFormatPr baseColWidth="10" defaultColWidth="11.5703125" defaultRowHeight="12.75" x14ac:dyDescent="0.25"/>
  <cols>
    <col min="1" max="1" width="25.28515625" style="12" customWidth="1"/>
    <col min="2" max="2" width="23.7109375" style="9" customWidth="1"/>
    <col min="3" max="3" width="11.5703125" style="10"/>
    <col min="4" max="16384" width="11.5703125" style="9"/>
  </cols>
  <sheetData>
    <row r="1" spans="1:12" ht="20.25" x14ac:dyDescent="0.25">
      <c r="A1" s="15" t="s">
        <v>23</v>
      </c>
    </row>
    <row r="2" spans="1:12" x14ac:dyDescent="0.25">
      <c r="L2" s="9" t="s">
        <v>47</v>
      </c>
    </row>
    <row r="3" spans="1:12" ht="15" x14ac:dyDescent="0.25">
      <c r="A3" s="11" t="s">
        <v>35</v>
      </c>
      <c r="L3" s="17" t="s">
        <v>197</v>
      </c>
    </row>
    <row r="4" spans="1:12" x14ac:dyDescent="0.25">
      <c r="B4" s="13"/>
    </row>
    <row r="5" spans="1:12" x14ac:dyDescent="0.25">
      <c r="B5" s="13"/>
      <c r="L5" s="9" t="s">
        <v>48</v>
      </c>
    </row>
    <row r="6" spans="1:12" ht="15" x14ac:dyDescent="0.25">
      <c r="B6" s="13"/>
      <c r="L6" s="17" t="s">
        <v>198</v>
      </c>
    </row>
    <row r="7" spans="1:12" x14ac:dyDescent="0.25">
      <c r="B7" s="13"/>
    </row>
    <row r="8" spans="1:12" x14ac:dyDescent="0.25">
      <c r="C8" s="10" t="s">
        <v>29</v>
      </c>
      <c r="D8" s="14">
        <v>2</v>
      </c>
      <c r="E8" s="9" t="s">
        <v>30</v>
      </c>
    </row>
    <row r="9" spans="1:12" x14ac:dyDescent="0.25">
      <c r="C9" s="10" t="s">
        <v>31</v>
      </c>
    </row>
    <row r="13" spans="1:12" x14ac:dyDescent="0.25">
      <c r="D13" s="10" t="s">
        <v>29</v>
      </c>
      <c r="E13" s="14">
        <v>1.2</v>
      </c>
      <c r="F13" s="9" t="s">
        <v>30</v>
      </c>
    </row>
    <row r="14" spans="1:12" x14ac:dyDescent="0.25">
      <c r="D14" s="10" t="s">
        <v>31</v>
      </c>
    </row>
    <row r="17" spans="1:10" x14ac:dyDescent="0.25">
      <c r="H17" s="10" t="s">
        <v>32</v>
      </c>
      <c r="I17" s="14">
        <v>0.6</v>
      </c>
      <c r="J17" s="9" t="s">
        <v>34</v>
      </c>
    </row>
    <row r="18" spans="1:10" x14ac:dyDescent="0.25">
      <c r="A18" s="10" t="s">
        <v>32</v>
      </c>
      <c r="B18" s="14">
        <v>0.65</v>
      </c>
      <c r="C18" s="9" t="s">
        <v>34</v>
      </c>
      <c r="H18" s="10" t="s">
        <v>33</v>
      </c>
    </row>
    <row r="19" spans="1:10" x14ac:dyDescent="0.25">
      <c r="A19" s="10" t="s">
        <v>33</v>
      </c>
      <c r="C19" s="9"/>
    </row>
    <row r="22" spans="1:10" x14ac:dyDescent="0.25">
      <c r="A22" s="9" t="s">
        <v>36</v>
      </c>
      <c r="B22" s="12"/>
      <c r="F22" s="9" t="s">
        <v>40</v>
      </c>
    </row>
    <row r="23" spans="1:10" x14ac:dyDescent="0.25">
      <c r="A23" s="9" t="s">
        <v>37</v>
      </c>
      <c r="B23" s="12"/>
      <c r="F23" s="9" t="s">
        <v>39</v>
      </c>
    </row>
    <row r="24" spans="1:10" x14ac:dyDescent="0.25">
      <c r="A24" s="9"/>
      <c r="B24" s="12"/>
    </row>
    <row r="25" spans="1:10" x14ac:dyDescent="0.25">
      <c r="A25" s="9" t="s">
        <v>38</v>
      </c>
      <c r="B25" s="12"/>
    </row>
    <row r="26" spans="1:10" x14ac:dyDescent="0.25">
      <c r="A26" s="9"/>
      <c r="B26" s="12"/>
      <c r="F26" s="9" t="s">
        <v>43</v>
      </c>
    </row>
    <row r="27" spans="1:10" x14ac:dyDescent="0.25">
      <c r="A27" s="9" t="s">
        <v>46</v>
      </c>
      <c r="F27" s="9" t="s">
        <v>44</v>
      </c>
    </row>
    <row r="28" spans="1:10" x14ac:dyDescent="0.25">
      <c r="A28" s="9" t="s">
        <v>41</v>
      </c>
      <c r="F28" s="9" t="s">
        <v>42</v>
      </c>
    </row>
    <row r="29" spans="1:10" x14ac:dyDescent="0.25">
      <c r="A29" s="9" t="s">
        <v>42</v>
      </c>
    </row>
    <row r="32" spans="1:10" x14ac:dyDescent="0.25">
      <c r="A32" s="12" t="s">
        <v>64</v>
      </c>
    </row>
    <row r="33" spans="1:5" x14ac:dyDescent="0.25">
      <c r="A33" s="12" t="s">
        <v>65</v>
      </c>
      <c r="B33" s="23" t="s">
        <v>191</v>
      </c>
      <c r="C33" s="10" t="s">
        <v>66</v>
      </c>
    </row>
    <row r="35" spans="1:5" x14ac:dyDescent="0.25">
      <c r="B35" s="12" t="s">
        <v>75</v>
      </c>
      <c r="E35" s="10" t="s">
        <v>74</v>
      </c>
    </row>
    <row r="36" spans="1:5" ht="28.9" customHeight="1" x14ac:dyDescent="0.25">
      <c r="A36" s="28" t="s">
        <v>79</v>
      </c>
      <c r="B36" s="60" t="s">
        <v>77</v>
      </c>
      <c r="C36" s="61"/>
      <c r="E36" s="20"/>
    </row>
    <row r="37" spans="1:5" x14ac:dyDescent="0.25">
      <c r="A37" s="9"/>
      <c r="B37" s="12"/>
      <c r="E37" s="10"/>
    </row>
    <row r="38" spans="1:5" ht="28.9" customHeight="1" x14ac:dyDescent="0.25">
      <c r="A38" s="28" t="s">
        <v>80</v>
      </c>
      <c r="B38" s="60" t="s">
        <v>78</v>
      </c>
      <c r="C38" s="61"/>
      <c r="E38" s="22"/>
    </row>
    <row r="39" spans="1:5" x14ac:dyDescent="0.25">
      <c r="A39" s="9"/>
      <c r="B39" s="12"/>
      <c r="E39" s="10"/>
    </row>
    <row r="40" spans="1:5" ht="28.9" customHeight="1" x14ac:dyDescent="0.25">
      <c r="A40" s="28" t="s">
        <v>81</v>
      </c>
      <c r="B40" s="60" t="s">
        <v>76</v>
      </c>
      <c r="C40" s="61"/>
      <c r="E40" s="21"/>
    </row>
  </sheetData>
  <mergeCells count="3">
    <mergeCell ref="B36:C36"/>
    <mergeCell ref="B38:C38"/>
    <mergeCell ref="B40:C40"/>
  </mergeCells>
  <hyperlinks>
    <hyperlink ref="L3" r:id="rId1" xr:uid="{00000000-0004-0000-0200-000000000000}"/>
    <hyperlink ref="L6" r:id="rId2" xr:uid="{00000000-0004-0000-0200-000001000000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2F31-405C-49B5-90C2-5DB6F629BF08}">
  <sheetPr codeName="Tabelle4"/>
  <dimension ref="A1"/>
  <sheetViews>
    <sheetView showGridLines="0" zoomScaleNormal="100" workbookViewId="0">
      <selection activeCell="F32" sqref="F32"/>
    </sheetView>
  </sheetViews>
  <sheetFormatPr baseColWidth="10" defaultRowHeight="15" x14ac:dyDescent="0.25"/>
  <sheetData>
    <row r="1" spans="1:1" ht="20.25" x14ac:dyDescent="0.25">
      <c r="A1" s="27" t="s">
        <v>73</v>
      </c>
    </row>
  </sheetData>
  <pageMargins left="0.7" right="0.7" top="0.78740157499999996" bottom="0.78740157499999996" header="0.3" footer="0.3"/>
  <pageSetup paperSize="9" orientation="landscape" r:id="rId1"/>
  <drawing r:id="rId2"/>
</worksheet>
</file>

<file path=customUI/_rels/customUI14.xml.rels><?xml version="1.0" encoding="UTF-8" standalone="yes"?>
<Relationships xmlns="http://schemas.openxmlformats.org/package/2006/relationships"><Relationship Id="InsertWBS" Type="http://schemas.openxmlformats.org/officeDocument/2006/relationships/image" Target="images/InsertWBS.png"/><Relationship Id="RemoveWBS" Type="http://schemas.openxmlformats.org/officeDocument/2006/relationships/image" Target="images/RemoveWBS.png"/></Relationships>
</file>

<file path=customUI/customUI14.xml><?xml version="1.0" encoding="utf-8"?>
<customUI xmlns="http://schemas.microsoft.com/office/2009/07/customui">
  <ribbon>
    <tabs>
      <tab id="customTabWBS" label="WBS">
        <group id="customGroup" label="Work Breakdown Structure">
          <button id="customButtonInsertWBS" label="Insert WBS" size="large" onAction="onRibbonInsertWBS" image="InsertWBS"/>
          <button id="customButtonRemoveWBS" label="Remove WBS" size="large" onAction="onRibbonRemoveWBS" image="RemoveWBS"/>
          <separator id="sep1"/>
          <button id="customButtonGroupWBS" label="Group WBS" size="large" onAction="onRibbonGroupWBS" imageMso="ContentControlsGroup"/>
          <button id="customButtonUngroupWBS" label="Ungroup WBS" size="large" onAction="onRibbonUngroupWBS" imageMso="ContentControlsUngrou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11</vt:i4>
      </vt:variant>
    </vt:vector>
  </HeadingPairs>
  <TitlesOfParts>
    <vt:vector size="15" baseType="lpstr">
      <vt:lpstr>Import</vt:lpstr>
      <vt:lpstr>Start</vt:lpstr>
      <vt:lpstr>Setup</vt:lpstr>
      <vt:lpstr>PSP</vt:lpstr>
      <vt:lpstr>FORMAT_COMPLETED</vt:lpstr>
      <vt:lpstr>FORMAT_IN_PROGRESS</vt:lpstr>
      <vt:lpstr>FORMAT_NOT_STARTED</vt:lpstr>
      <vt:lpstr>LEVEL0_SPACE_Y</vt:lpstr>
      <vt:lpstr>LEVEL1_SPACE_X</vt:lpstr>
      <vt:lpstr>LEVEL3_SPACE_X</vt:lpstr>
      <vt:lpstr>LEVEL3_SPACE_Y</vt:lpstr>
      <vt:lpstr>PROGRESS_COLORS</vt:lpstr>
      <vt:lpstr>PROGRESS_COMPLETED</vt:lpstr>
      <vt:lpstr>PROGRESS_IN_PROGRESS</vt:lpstr>
      <vt:lpstr>PROGRESS_NOT_STARTED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Angielsky</dc:creator>
  <cp:lastModifiedBy>Thomas Angielsky</cp:lastModifiedBy>
  <cp:lastPrinted>2021-08-22T15:54:04Z</cp:lastPrinted>
  <dcterms:created xsi:type="dcterms:W3CDTF">2019-12-08T11:23:10Z</dcterms:created>
  <dcterms:modified xsi:type="dcterms:W3CDTF">2021-08-23T04:02:21Z</dcterms:modified>
</cp:coreProperties>
</file>
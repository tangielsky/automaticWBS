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angi\Desktop\Neue Artikel\PSP4\Code\github\neu\"/>
    </mc:Choice>
  </mc:AlternateContent>
  <xr:revisionPtr revIDLastSave="0" documentId="13_ncr:1_{52A623D1-6556-4841-B846-0F87A84D4C1C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Import" sheetId="7" r:id="rId1"/>
    <sheet name="Start" sheetId="1" r:id="rId2"/>
    <sheet name="Setup" sheetId="4" r:id="rId3"/>
    <sheet name="PSP" sheetId="9" r:id="rId4"/>
  </sheets>
  <functionGroups builtInGroupCount="19"/>
  <definedNames>
    <definedName name="_xlnm._FilterDatabase" localSheetId="1" hidden="1">Start!$A$4:$M$35</definedName>
    <definedName name="FORMAT_COMPLETED">Setup!$B$40</definedName>
    <definedName name="FORMAT_IN_PROGRESS">Setup!$B$38</definedName>
    <definedName name="FORMAT_NOT_STARTED">Setup!$B$36</definedName>
    <definedName name="LEVEL0_SPACE_Y">Setup!$D$8</definedName>
    <definedName name="LEVEL1_SPACE_X">Setup!$I$17</definedName>
    <definedName name="LEVEL3_SPACE_X">Setup!$B$18</definedName>
    <definedName name="LEVEL3_SPACE_Y">Setup!$E$13</definedName>
    <definedName name="PROGRESS_COLORS">Setup!$B$33</definedName>
    <definedName name="PROGRESS_COMPLETED">Setup!$E$40</definedName>
    <definedName name="PROGRESS_IN_PROGRESS">Setup!$E$38</definedName>
    <definedName name="PROGRESS_NOT_STARTED">Setup!$E$36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4" i="7" l="1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</calcChain>
</file>

<file path=xl/sharedStrings.xml><?xml version="1.0" encoding="utf-8"?>
<sst xmlns="http://schemas.openxmlformats.org/spreadsheetml/2006/main" count="275" uniqueCount="194">
  <si>
    <t>Name</t>
  </si>
  <si>
    <t>1.2</t>
  </si>
  <si>
    <t>1.3</t>
  </si>
  <si>
    <t>1.4</t>
  </si>
  <si>
    <t>Abschluss</t>
  </si>
  <si>
    <t>1.5</t>
  </si>
  <si>
    <t>1.2.1</t>
  </si>
  <si>
    <t>1.2.2</t>
  </si>
  <si>
    <t>1.2.3</t>
  </si>
  <si>
    <t>1.3.1</t>
  </si>
  <si>
    <t>1.3.2</t>
  </si>
  <si>
    <t>1.4.1</t>
  </si>
  <si>
    <t>1.4.2</t>
  </si>
  <si>
    <t>1.4.3</t>
  </si>
  <si>
    <t>1.5.1</t>
  </si>
  <si>
    <t>1.5.2</t>
  </si>
  <si>
    <t>Lessons learned</t>
  </si>
  <si>
    <t>X</t>
  </si>
  <si>
    <t>Y</t>
  </si>
  <si>
    <t>Code</t>
  </si>
  <si>
    <t>Count</t>
  </si>
  <si>
    <t>Progress</t>
  </si>
  <si>
    <t>Projektstrukturplan / Work-Breakdown-Structure</t>
  </si>
  <si>
    <t>Einstellungen / Setup</t>
  </si>
  <si>
    <t>F1</t>
  </si>
  <si>
    <t>F2</t>
  </si>
  <si>
    <t>F3</t>
  </si>
  <si>
    <t>F4</t>
  </si>
  <si>
    <t>F5</t>
  </si>
  <si>
    <t>Abstand Y</t>
  </si>
  <si>
    <t xml:space="preserve"> * Höhe (Height)</t>
  </si>
  <si>
    <t>(Space Y)</t>
  </si>
  <si>
    <t>Abstand X</t>
  </si>
  <si>
    <t>(Space X)</t>
  </si>
  <si>
    <t xml:space="preserve"> * Breite (Width)</t>
  </si>
  <si>
    <t>Aussehen (appearance)</t>
  </si>
  <si>
    <t>Formatieren Sie die Kästchen so wie sie im PSP aussehen sollen. Die Formatierung</t>
  </si>
  <si>
    <t>wird von hier übernommen.</t>
  </si>
  <si>
    <t>Es wird zwischen den 3 Ebenen unterschieden.</t>
  </si>
  <si>
    <t>A distinction is made between the 3 levels.</t>
  </si>
  <si>
    <t xml:space="preserve">Format the boxes as they should look in the WBS. The formatting is taken over from here.
</t>
  </si>
  <si>
    <t>Gültige Variablennamen sind die Feldnamen aus der Tabelle START.</t>
  </si>
  <si>
    <t>$CODE $NAME $PROGRESS $F1 $F2 $F3 $F4 $F5</t>
  </si>
  <si>
    <t>Here you can define the labeling of each box.</t>
  </si>
  <si>
    <t>Valid variable names are the field names from the START sheet.</t>
  </si>
  <si>
    <t>Tragen Sie hier die Struktur Ihres PSP ein. Die Tabelle muss nach Code sortiert sein.
Enter the structure of your WBS here. The table must be sorted by code.</t>
  </si>
  <si>
    <t>Hier können Sie auch die Beschriftung jedes Kästchens festlegen.</t>
  </si>
  <si>
    <t>Mehr Informationen unter:</t>
  </si>
  <si>
    <t>https://techpluscode.de/projekt-struktur-plan-psp-in-3-minuten/</t>
  </si>
  <si>
    <t>More information:</t>
  </si>
  <si>
    <t>https://techpluscode.de/work-breakdown-structure-wbs-in-3-minutes/</t>
  </si>
  <si>
    <t>2</t>
  </si>
  <si>
    <t>3</t>
  </si>
  <si>
    <t>3.1</t>
  </si>
  <si>
    <t>3.2</t>
  </si>
  <si>
    <t>4</t>
  </si>
  <si>
    <t>4.1</t>
  </si>
  <si>
    <t>4.2</t>
  </si>
  <si>
    <t>4.3</t>
  </si>
  <si>
    <t>5</t>
  </si>
  <si>
    <t>5.1</t>
  </si>
  <si>
    <t>5.2</t>
  </si>
  <si>
    <t>1.5.3</t>
  </si>
  <si>
    <t>Verantwortlich</t>
  </si>
  <si>
    <t>Start</t>
  </si>
  <si>
    <t>5.3</t>
  </si>
  <si>
    <t>Fortschritt für Farbgebung verwenden</t>
  </si>
  <si>
    <t>Use progress for colors</t>
  </si>
  <si>
    <t>J</t>
  </si>
  <si>
    <t xml:space="preserve">J = Ja / yes </t>
  </si>
  <si>
    <t>PSP</t>
  </si>
  <si>
    <t>F6</t>
  </si>
  <si>
    <t>F7</t>
  </si>
  <si>
    <t>F8</t>
  </si>
  <si>
    <t>F9</t>
  </si>
  <si>
    <t>F10</t>
  </si>
  <si>
    <t>Projektstrukturplan / Work breakdown structure</t>
  </si>
  <si>
    <t>Farbe / Color</t>
  </si>
  <si>
    <t>Text PROGRESS</t>
  </si>
  <si>
    <t>$PROGRESS ($F6 h / $F7 h)
Ende gepl. $F4 real. $F5</t>
  </si>
  <si>
    <t>$PROGRESS ($F6 h)
Start gepl. $F2</t>
  </si>
  <si>
    <t>$PROGRESS ($F6 h / $F7 h)
Start real. $F3 Ende gepl. $F4</t>
  </si>
  <si>
    <t>nicht begonnen / not started 
(PROGRESS = 0)</t>
  </si>
  <si>
    <t>in Bearbeitung / in progress 
(0 &gt; PROGRESS &gt; 100%)</t>
  </si>
  <si>
    <t>abgeschlossen / completed 
(PROGRESS = 100%)</t>
  </si>
  <si>
    <t>Projekt: Neuer Montage-Arbeitsplatz</t>
  </si>
  <si>
    <t>Projekt-Management</t>
  </si>
  <si>
    <t>Mon 20.01.20</t>
  </si>
  <si>
    <t xml:space="preserve">   Datenablage</t>
  </si>
  <si>
    <t>2.1</t>
  </si>
  <si>
    <t xml:space="preserve">   Controlling</t>
  </si>
  <si>
    <t>2.2</t>
  </si>
  <si>
    <t xml:space="preserve">   Marketing</t>
  </si>
  <si>
    <t>2.3</t>
  </si>
  <si>
    <t>Initialisierung</t>
  </si>
  <si>
    <t>Mon 03.02.20</t>
  </si>
  <si>
    <t>Tue 04.02.20</t>
  </si>
  <si>
    <t xml:space="preserve">   Definition</t>
  </si>
  <si>
    <t xml:space="preserve">   Ziele</t>
  </si>
  <si>
    <t>Planung</t>
  </si>
  <si>
    <t>Wed 05.02.20</t>
  </si>
  <si>
    <t>Mon 27.04.20</t>
  </si>
  <si>
    <t xml:space="preserve">   Arbeitsablauf</t>
  </si>
  <si>
    <t>Tue 11.02.20</t>
  </si>
  <si>
    <t xml:space="preserve">   Arbeitsplatzgestaltung</t>
  </si>
  <si>
    <t>Wed 12.02.20</t>
  </si>
  <si>
    <t>Tue 25.02.20</t>
  </si>
  <si>
    <t xml:space="preserve">   Lieferantensuche</t>
  </si>
  <si>
    <t>Wed 26.02.20</t>
  </si>
  <si>
    <t>1.4.3.1</t>
  </si>
  <si>
    <t xml:space="preserve">      Lastenheft</t>
  </si>
  <si>
    <t>4.3.1</t>
  </si>
  <si>
    <t>Thu 27.02.20</t>
  </si>
  <si>
    <t>1.4.3.2</t>
  </si>
  <si>
    <t xml:space="preserve">      Anfragen</t>
  </si>
  <si>
    <t>4.3.2</t>
  </si>
  <si>
    <t>Fri 28.02.20</t>
  </si>
  <si>
    <t>Thu 23.04.20</t>
  </si>
  <si>
    <t>1.4.3.3</t>
  </si>
  <si>
    <t xml:space="preserve">      Vergleich</t>
  </si>
  <si>
    <t>4.3.3</t>
  </si>
  <si>
    <t>Fri 24.04.20</t>
  </si>
  <si>
    <t>Realisierung</t>
  </si>
  <si>
    <t>Tue 28.04.20</t>
  </si>
  <si>
    <t>Tue 19.05.20</t>
  </si>
  <si>
    <t xml:space="preserve">   Bestellung Komponenten</t>
  </si>
  <si>
    <t>Wed 29.04.20</t>
  </si>
  <si>
    <t xml:space="preserve">   Aufbau</t>
  </si>
  <si>
    <t>Thu 30.04.20</t>
  </si>
  <si>
    <t>Thu 07.05.20</t>
  </si>
  <si>
    <t xml:space="preserve">   Testbetrieb</t>
  </si>
  <si>
    <t>Fri 08.05.20</t>
  </si>
  <si>
    <t>Thu 14.05.20</t>
  </si>
  <si>
    <t>1.5.4</t>
  </si>
  <si>
    <t xml:space="preserve">   Optimierung</t>
  </si>
  <si>
    <t>5.4</t>
  </si>
  <si>
    <t>Fri 15.05.20</t>
  </si>
  <si>
    <t>1.6</t>
  </si>
  <si>
    <t>6</t>
  </si>
  <si>
    <t>Wed 20.05.20</t>
  </si>
  <si>
    <t>Thu 21.05.20</t>
  </si>
  <si>
    <t>1.6.1</t>
  </si>
  <si>
    <t xml:space="preserve">   Lessons learned</t>
  </si>
  <si>
    <t>6.1</t>
  </si>
  <si>
    <t>1.6.2</t>
  </si>
  <si>
    <t xml:space="preserve">   Abschlussbericht</t>
  </si>
  <si>
    <t>6.2</t>
  </si>
  <si>
    <t>Neuer Montage-Arbeitsplatz</t>
  </si>
  <si>
    <t>Task Name</t>
  </si>
  <si>
    <t>progress</t>
  </si>
  <si>
    <t>WBS</t>
  </si>
  <si>
    <t>Finish</t>
  </si>
  <si>
    <t>Ende
geplant</t>
  </si>
  <si>
    <t>Ende 
realisiert</t>
  </si>
  <si>
    <t>Aufwand
geplant</t>
  </si>
  <si>
    <t>Aufwand
realisiert</t>
  </si>
  <si>
    <t>Start 
geplant</t>
  </si>
  <si>
    <t>Start 
realisiert</t>
  </si>
  <si>
    <t>Datenablage</t>
  </si>
  <si>
    <t>Controlling</t>
  </si>
  <si>
    <t>Marketing</t>
  </si>
  <si>
    <t>Definition</t>
  </si>
  <si>
    <t>Ziele</t>
  </si>
  <si>
    <t>Arbeitsablauf</t>
  </si>
  <si>
    <t>Arbeitsplatzgestaltung</t>
  </si>
  <si>
    <t>Lieferantensuche</t>
  </si>
  <si>
    <t>Lastenheft</t>
  </si>
  <si>
    <t>Anfragen</t>
  </si>
  <si>
    <t>Vergleich</t>
  </si>
  <si>
    <t>Bestellung Komponenten</t>
  </si>
  <si>
    <t>Aufbau</t>
  </si>
  <si>
    <t>Testbetrieb</t>
  </si>
  <si>
    <t>Optimierung</t>
  </si>
  <si>
    <t>Abschlussbericht</t>
  </si>
  <si>
    <t>Beispiel in Deutsch</t>
  </si>
  <si>
    <t>New assembly workplace</t>
  </si>
  <si>
    <t>Project management</t>
  </si>
  <si>
    <t>Data storage</t>
  </si>
  <si>
    <t>Initialization</t>
  </si>
  <si>
    <t>Aims</t>
  </si>
  <si>
    <t>Planning</t>
  </si>
  <si>
    <t>Work prozess</t>
  </si>
  <si>
    <t>Workplace design</t>
  </si>
  <si>
    <t>Search of suppliers</t>
  </si>
  <si>
    <t>Requirements specification</t>
  </si>
  <si>
    <t>Requests</t>
  </si>
  <si>
    <t>Comparison</t>
  </si>
  <si>
    <t>Realization</t>
  </si>
  <si>
    <t>Order of components</t>
  </si>
  <si>
    <t>Installation</t>
  </si>
  <si>
    <t>Test phase</t>
  </si>
  <si>
    <t>Optimization</t>
  </si>
  <si>
    <t>Closing</t>
  </si>
  <si>
    <t>Final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</si>
</sst>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DM&quot;_-;\-* #,##0.00\ &quot;DM&quot;_-;_-* &quot;-&quot;??\ &quot;DM&quot;_-;_-@_-"/>
    <numFmt numFmtId="165" formatCode="d/m/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36363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9" fillId="0" borderId="0"/>
  </cellStyleXfs>
  <cellXfs count="60">
    <xf numFmtId="0" fontId="0" fillId="0" borderId="0" xfId="0"/>
    <xf numFmtId="49" fontId="3" fillId="2" borderId="0" xfId="0" applyNumberFormat="1" applyFont="1" applyFill="1"/>
    <xf numFmtId="0" fontId="3" fillId="2" borderId="0" xfId="0" applyFont="1" applyFill="1"/>
    <xf numFmtId="9" fontId="3" fillId="2" borderId="0" xfId="1" applyFont="1" applyFill="1"/>
    <xf numFmtId="0" fontId="4" fillId="3" borderId="0" xfId="0" applyFont="1" applyFill="1"/>
    <xf numFmtId="9" fontId="4" fillId="3" borderId="0" xfId="1" applyFont="1" applyFill="1"/>
    <xf numFmtId="9" fontId="3" fillId="3" borderId="0" xfId="1" applyFont="1" applyFill="1"/>
    <xf numFmtId="0" fontId="4" fillId="0" borderId="0" xfId="0" applyFont="1" applyFill="1"/>
    <xf numFmtId="9" fontId="4" fillId="0" borderId="0" xfId="1" applyFont="1" applyFill="1"/>
    <xf numFmtId="49" fontId="4" fillId="0" borderId="0" xfId="0" applyNumberFormat="1" applyFont="1" applyFill="1"/>
    <xf numFmtId="0" fontId="4" fillId="3" borderId="0" xfId="0" applyFont="1" applyFill="1" applyAlignment="1">
      <alignment vertical="top"/>
    </xf>
    <xf numFmtId="9" fontId="4" fillId="3" borderId="0" xfId="1" applyFont="1" applyFill="1" applyAlignment="1">
      <alignment vertical="top"/>
    </xf>
    <xf numFmtId="49" fontId="3" fillId="3" borderId="0" xfId="0" applyNumberFormat="1" applyFont="1" applyFill="1" applyAlignment="1">
      <alignment vertical="top"/>
    </xf>
    <xf numFmtId="49" fontId="4" fillId="3" borderId="0" xfId="0" applyNumberFormat="1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4" fillId="0" borderId="0" xfId="0" applyFont="1" applyFill="1" applyAlignment="1">
      <alignment vertical="top" wrapText="1"/>
    </xf>
    <xf numFmtId="49" fontId="5" fillId="3" borderId="0" xfId="0" applyNumberFormat="1" applyFont="1" applyFill="1" applyAlignment="1">
      <alignment vertical="top"/>
    </xf>
    <xf numFmtId="49" fontId="5" fillId="3" borderId="0" xfId="0" applyNumberFormat="1" applyFont="1" applyFill="1"/>
    <xf numFmtId="0" fontId="7" fillId="3" borderId="0" xfId="2" applyFill="1" applyAlignment="1">
      <alignment vertical="top"/>
    </xf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/>
    </xf>
    <xf numFmtId="9" fontId="4" fillId="4" borderId="1" xfId="1" applyFont="1" applyFill="1" applyBorder="1" applyAlignment="1">
      <alignment vertical="top"/>
    </xf>
    <xf numFmtId="9" fontId="4" fillId="5" borderId="1" xfId="1" applyFont="1" applyFill="1" applyBorder="1" applyAlignment="1">
      <alignment vertical="top"/>
    </xf>
    <xf numFmtId="9" fontId="4" fillId="6" borderId="1" xfId="1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10" fontId="4" fillId="3" borderId="0" xfId="1" applyNumberFormat="1" applyFont="1" applyFill="1"/>
    <xf numFmtId="10" fontId="3" fillId="2" borderId="0" xfId="1" applyNumberFormat="1" applyFont="1" applyFill="1"/>
    <xf numFmtId="10" fontId="4" fillId="0" borderId="0" xfId="1" applyNumberFormat="1" applyFont="1" applyFill="1"/>
    <xf numFmtId="49" fontId="5" fillId="0" borderId="0" xfId="0" applyNumberFormat="1" applyFont="1" applyFill="1" applyAlignment="1">
      <alignment vertical="top"/>
    </xf>
    <xf numFmtId="0" fontId="4" fillId="3" borderId="0" xfId="0" applyFont="1" applyFill="1" applyAlignment="1">
      <alignment vertical="top" wrapText="1"/>
    </xf>
    <xf numFmtId="0" fontId="4" fillId="3" borderId="0" xfId="1" applyNumberFormat="1" applyFont="1" applyFill="1"/>
    <xf numFmtId="0" fontId="4" fillId="3" borderId="0" xfId="0" applyNumberFormat="1" applyFont="1" applyFill="1" applyAlignment="1">
      <alignment horizontal="left" vertical="center"/>
    </xf>
    <xf numFmtId="0" fontId="3" fillId="2" borderId="0" xfId="0" applyNumberFormat="1" applyFont="1" applyFill="1"/>
    <xf numFmtId="0" fontId="4" fillId="0" borderId="0" xfId="1" applyNumberFormat="1" applyFont="1" applyFill="1"/>
    <xf numFmtId="0" fontId="4" fillId="0" borderId="0" xfId="0" applyNumberFormat="1" applyFont="1" applyFill="1"/>
    <xf numFmtId="165" fontId="4" fillId="3" borderId="0" xfId="1" applyNumberFormat="1" applyFont="1" applyFill="1"/>
    <xf numFmtId="165" fontId="3" fillId="2" borderId="0" xfId="0" applyNumberFormat="1" applyFont="1" applyFill="1"/>
    <xf numFmtId="165" fontId="4" fillId="0" borderId="0" xfId="1" applyNumberFormat="1" applyFont="1" applyFill="1"/>
    <xf numFmtId="0" fontId="10" fillId="9" borderId="4" xfId="0" applyFont="1" applyFill="1" applyBorder="1" applyAlignment="1">
      <alignment vertical="center" wrapText="1"/>
    </xf>
    <xf numFmtId="49" fontId="10" fillId="9" borderId="4" xfId="0" applyNumberFormat="1" applyFont="1" applyFill="1" applyBorder="1" applyAlignment="1">
      <alignment vertical="center" wrapText="1"/>
    </xf>
    <xf numFmtId="0" fontId="11" fillId="9" borderId="4" xfId="0" applyFont="1" applyFill="1" applyBorder="1" applyAlignment="1">
      <alignment vertical="center" wrapText="1"/>
    </xf>
    <xf numFmtId="49" fontId="11" fillId="9" borderId="4" xfId="0" applyNumberFormat="1" applyFont="1" applyFill="1" applyBorder="1" applyAlignment="1">
      <alignment vertical="center" wrapText="1"/>
    </xf>
    <xf numFmtId="0" fontId="10" fillId="9" borderId="0" xfId="0" applyFont="1" applyFill="1" applyAlignment="1">
      <alignment vertical="center" wrapText="1"/>
    </xf>
    <xf numFmtId="49" fontId="10" fillId="9" borderId="0" xfId="0" applyNumberFormat="1" applyFont="1" applyFill="1" applyAlignment="1">
      <alignment vertical="center" wrapText="1"/>
    </xf>
    <xf numFmtId="165" fontId="4" fillId="3" borderId="0" xfId="0" applyNumberFormat="1" applyFont="1" applyFill="1" applyAlignment="1">
      <alignment horizontal="left" vertical="center" wrapText="1"/>
    </xf>
    <xf numFmtId="0" fontId="4" fillId="3" borderId="0" xfId="0" applyNumberFormat="1" applyFont="1" applyFill="1" applyAlignment="1">
      <alignment horizontal="left" vertical="center" wrapText="1"/>
    </xf>
    <xf numFmtId="0" fontId="0" fillId="0" borderId="0" xfId="0" applyFont="1"/>
    <xf numFmtId="0" fontId="12" fillId="8" borderId="4" xfId="0" applyFont="1" applyFill="1" applyBorder="1" applyAlignment="1">
      <alignment vertical="center" wrapText="1"/>
    </xf>
    <xf numFmtId="49" fontId="12" fillId="8" borderId="4" xfId="0" applyNumberFormat="1" applyFont="1" applyFill="1" applyBorder="1" applyAlignment="1">
      <alignment vertical="center" wrapText="1"/>
    </xf>
    <xf numFmtId="0" fontId="0" fillId="9" borderId="4" xfId="0" applyFont="1" applyFill="1" applyBorder="1" applyAlignment="1">
      <alignment vertical="center" wrapText="1"/>
    </xf>
    <xf numFmtId="49" fontId="0" fillId="9" borderId="4" xfId="0" applyNumberFormat="1" applyFont="1" applyFill="1" applyBorder="1" applyAlignment="1">
      <alignment vertical="center" wrapText="1"/>
    </xf>
    <xf numFmtId="0" fontId="0" fillId="0" borderId="4" xfId="0" applyFont="1" applyBorder="1"/>
    <xf numFmtId="49" fontId="0" fillId="0" borderId="4" xfId="0" applyNumberFormat="1" applyFont="1" applyBorder="1"/>
    <xf numFmtId="49" fontId="0" fillId="0" borderId="0" xfId="0" applyNumberFormat="1" applyFont="1"/>
    <xf numFmtId="49" fontId="3" fillId="0" borderId="0" xfId="0" applyNumberFormat="1" applyFont="1" applyFill="1"/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49" fontId="4" fillId="0" borderId="2" xfId="0" applyNumberFormat="1" applyFont="1" applyFill="1" applyBorder="1" applyAlignment="1">
      <alignment horizontal="center" vertical="top" wrapText="1"/>
    </xf>
    <xf numFmtId="49" fontId="4" fillId="0" borderId="3" xfId="0" applyNumberFormat="1" applyFont="1" applyFill="1" applyBorder="1" applyAlignment="1">
      <alignment horizontal="center" vertical="top" wrapText="1"/>
    </xf>
  </cellXfs>
  <cellStyles count="6">
    <cellStyle name="Link" xfId="2" builtinId="8"/>
    <cellStyle name="Prozent" xfId="1" builtinId="5"/>
    <cellStyle name="Standard" xfId="0" builtinId="0"/>
    <cellStyle name="Standard 2" xfId="3" xr:uid="{00000000-0005-0000-0000-000003000000}"/>
    <cellStyle name="Standard 3" xfId="5" xr:uid="{00000000-0005-0000-0000-000004000000}"/>
    <cellStyle name="Währung 2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312421</xdr:colOff>
      <xdr:row>1</xdr:row>
      <xdr:rowOff>76199</xdr:rowOff>
    </xdr:from>
    <xdr:to>
      <xdr:col>5</xdr:col>
      <xdr:colOff>9526</xdr:colOff>
      <xdr:row>6</xdr:row>
      <xdr:rowOff>7619</xdr:rowOff>
    </xdr:to>
    <xdr:sp macro="" textlink="">
      <xdr:nvSpPr>
        <xdr:cNvPr id="2" name="LEVEL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3246" y="333374"/>
          <a:ext cx="2011680" cy="79819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Projekt:</a:t>
          </a:r>
        </a:p>
        <a:p>
          <a:pPr algn="ctr"/>
          <a:r>
            <a:rPr lang="de-DE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$</a:t>
          </a:r>
          <a:r>
            <a:rPr lang="de-DE" sz="2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NAME </a:t>
          </a:r>
          <a:endParaRPr lang="de-DE" sz="1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47624</xdr:colOff>
      <xdr:row>7</xdr:row>
      <xdr:rowOff>152400</xdr:rowOff>
    </xdr:from>
    <xdr:to>
      <xdr:col>2</xdr:col>
      <xdr:colOff>19049</xdr:colOff>
      <xdr:row>11</xdr:row>
      <xdr:rowOff>121920</xdr:rowOff>
    </xdr:to>
    <xdr:sp macro="" textlink="">
      <xdr:nvSpPr>
        <xdr:cNvPr id="3" name="LEVEL_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33549" y="143827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$F1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$NAME</a:t>
          </a:r>
        </a:p>
      </xdr:txBody>
    </xdr:sp>
    <xdr:clientData/>
  </xdr:twoCellAnchor>
  <xdr:twoCellAnchor>
    <xdr:from>
      <xdr:col>1</xdr:col>
      <xdr:colOff>701040</xdr:colOff>
      <xdr:row>12</xdr:row>
      <xdr:rowOff>129540</xdr:rowOff>
    </xdr:from>
    <xdr:to>
      <xdr:col>2</xdr:col>
      <xdr:colOff>476250</xdr:colOff>
      <xdr:row>16</xdr:row>
      <xdr:rowOff>22860</xdr:rowOff>
    </xdr:to>
    <xdr:sp macro="" textlink="">
      <xdr:nvSpPr>
        <xdr:cNvPr id="4" name="LEVEL_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38400" y="2270760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$F1</a:t>
          </a:r>
          <a:r>
            <a:rPr lang="de-DE" sz="800" b="0" baseline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$</a:t>
          </a:r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NAME</a:t>
          </a:r>
        </a:p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$PROGRESS</a:t>
          </a:r>
        </a:p>
      </xdr:txBody>
    </xdr:sp>
    <xdr:clientData/>
  </xdr:twoCellAnchor>
  <xdr:twoCellAnchor>
    <xdr:from>
      <xdr:col>1</xdr:col>
      <xdr:colOff>823912</xdr:colOff>
      <xdr:row>6</xdr:row>
      <xdr:rowOff>7620</xdr:rowOff>
    </xdr:from>
    <xdr:to>
      <xdr:col>3</xdr:col>
      <xdr:colOff>546736</xdr:colOff>
      <xdr:row>7</xdr:row>
      <xdr:rowOff>152401</xdr:rowOff>
    </xdr:to>
    <xdr:cxnSp macro="">
      <xdr:nvCxnSpPr>
        <xdr:cNvPr id="6" name="CONNECTO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stCxn id="2" idx="2"/>
          <a:endCxn id="3" idx="0"/>
        </xdr:cNvCxnSpPr>
      </xdr:nvCxnSpPr>
      <xdr:spPr>
        <a:xfrm rot="5400000">
          <a:off x="3394234" y="247173"/>
          <a:ext cx="306706" cy="2075499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11</xdr:row>
      <xdr:rowOff>30480</xdr:rowOff>
    </xdr:from>
    <xdr:to>
      <xdr:col>2</xdr:col>
      <xdr:colOff>685800</xdr:colOff>
      <xdr:row>12</xdr:row>
      <xdr:rowOff>114300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3558540" y="1973580"/>
          <a:ext cx="0" cy="251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14</xdr:row>
      <xdr:rowOff>30480</xdr:rowOff>
    </xdr:from>
    <xdr:to>
      <xdr:col>1</xdr:col>
      <xdr:colOff>632460</xdr:colOff>
      <xdr:row>14</xdr:row>
      <xdr:rowOff>30480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 flipV="1">
          <a:off x="1394460" y="2476500"/>
          <a:ext cx="4800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68580</xdr:colOff>
      <xdr:row>8</xdr:row>
      <xdr:rowOff>7620</xdr:rowOff>
    </xdr:from>
    <xdr:to>
      <xdr:col>8</xdr:col>
      <xdr:colOff>548640</xdr:colOff>
      <xdr:row>11</xdr:row>
      <xdr:rowOff>152400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03720" y="1447800"/>
          <a:ext cx="1272540" cy="6477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3</xdr:col>
      <xdr:colOff>546736</xdr:colOff>
      <xdr:row>6</xdr:row>
      <xdr:rowOff>7618</xdr:rowOff>
    </xdr:from>
    <xdr:to>
      <xdr:col>7</xdr:col>
      <xdr:colOff>694373</xdr:colOff>
      <xdr:row>8</xdr:row>
      <xdr:rowOff>7619</xdr:rowOff>
    </xdr:to>
    <xdr:cxnSp macro="">
      <xdr:nvCxnSpPr>
        <xdr:cNvPr id="11" name="Verbinder: gewinkel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>
          <a:stCxn id="2" idx="2"/>
          <a:endCxn id="5" idx="0"/>
        </xdr:cNvCxnSpPr>
      </xdr:nvCxnSpPr>
      <xdr:spPr>
        <a:xfrm rot="16200000" flipH="1">
          <a:off x="5564029" y="-323375"/>
          <a:ext cx="323851" cy="3233737"/>
        </a:xfrm>
        <a:prstGeom prst="bentConnector3">
          <a:avLst>
            <a:gd name="adj1" fmla="val 50000"/>
          </a:avLst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53340</xdr:colOff>
      <xdr:row>15</xdr:row>
      <xdr:rowOff>114300</xdr:rowOff>
    </xdr:from>
    <xdr:to>
      <xdr:col>6</xdr:col>
      <xdr:colOff>533400</xdr:colOff>
      <xdr:row>18</xdr:row>
      <xdr:rowOff>129540</xdr:rowOff>
    </xdr:to>
    <xdr:sp macro="" textlink="">
      <xdr:nvSpPr>
        <xdr:cNvPr id="15" name="Rechteck: abgerundete Eck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303520" y="2727960"/>
          <a:ext cx="1272540" cy="5181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6</xdr:col>
      <xdr:colOff>548640</xdr:colOff>
      <xdr:row>14</xdr:row>
      <xdr:rowOff>160020</xdr:rowOff>
    </xdr:from>
    <xdr:to>
      <xdr:col>7</xdr:col>
      <xdr:colOff>76200</xdr:colOff>
      <xdr:row>14</xdr:row>
      <xdr:rowOff>160020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H="1">
          <a:off x="6591300" y="2606040"/>
          <a:ext cx="32004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</xdr:row>
          <xdr:rowOff>114300</xdr:rowOff>
        </xdr:from>
        <xdr:to>
          <xdr:col>1</xdr:col>
          <xdr:colOff>266700</xdr:colOff>
          <xdr:row>4</xdr:row>
          <xdr:rowOff>106680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Erzeugen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339471</xdr:colOff>
      <xdr:row>3</xdr:row>
      <xdr:rowOff>167640</xdr:rowOff>
    </xdr:from>
    <xdr:to>
      <xdr:col>8</xdr:col>
      <xdr:colOff>36576</xdr:colOff>
      <xdr:row>8</xdr:row>
      <xdr:rowOff>53340</xdr:rowOff>
    </xdr:to>
    <xdr:sp macro="" textlink="">
      <xdr:nvSpPr>
        <xdr:cNvPr id="12217" name="N_1">
          <a:extLst>
            <a:ext uri="{FF2B5EF4-FFF2-40B4-BE49-F238E27FC236}">
              <a16:creationId xmlns:a16="http://schemas.microsoft.com/office/drawing/2014/main" id="{00000000-0008-0000-0300-0000B92F0000}"/>
            </a:ext>
          </a:extLst>
        </xdr:cNvPr>
        <xdr:cNvSpPr/>
      </xdr:nvSpPr>
      <xdr:spPr>
        <a:xfrm>
          <a:off x="4301871" y="800100"/>
          <a:ext cx="2074545" cy="80010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Projekt:
New assembly workplace </a:t>
          </a:r>
        </a:p>
      </xdr:txBody>
    </xdr:sp>
    <xdr:clientData/>
  </xdr:twoCellAnchor>
  <xdr:twoCellAnchor>
    <xdr:from>
      <xdr:col>0</xdr:col>
      <xdr:colOff>0</xdr:colOff>
      <xdr:row>10</xdr:row>
      <xdr:rowOff>167640</xdr:rowOff>
    </xdr:from>
    <xdr:to>
      <xdr:col>2</xdr:col>
      <xdr:colOff>9525</xdr:colOff>
      <xdr:row>14</xdr:row>
      <xdr:rowOff>76200</xdr:rowOff>
    </xdr:to>
    <xdr:sp macro="" textlink="">
      <xdr:nvSpPr>
        <xdr:cNvPr id="12218" name="N_1.2">
          <a:extLst>
            <a:ext uri="{FF2B5EF4-FFF2-40B4-BE49-F238E27FC236}">
              <a16:creationId xmlns:a16="http://schemas.microsoft.com/office/drawing/2014/main" id="{00000000-0008-0000-0300-0000BA2F0000}"/>
            </a:ext>
          </a:extLst>
        </xdr:cNvPr>
        <xdr:cNvSpPr/>
      </xdr:nvSpPr>
      <xdr:spPr>
        <a:xfrm>
          <a:off x="0" y="2080260"/>
          <a:ext cx="1594485" cy="6400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Project management</a:t>
          </a:r>
        </a:p>
      </xdr:txBody>
    </xdr:sp>
    <xdr:clientData/>
  </xdr:twoCellAnchor>
  <xdr:twoCellAnchor>
    <xdr:from>
      <xdr:col>1</xdr:col>
      <xdr:colOff>4763</xdr:colOff>
      <xdr:row>8</xdr:row>
      <xdr:rowOff>53341</xdr:rowOff>
    </xdr:from>
    <xdr:to>
      <xdr:col>6</xdr:col>
      <xdr:colOff>584264</xdr:colOff>
      <xdr:row>10</xdr:row>
      <xdr:rowOff>167641</xdr:rowOff>
    </xdr:to>
    <xdr:cxnSp macro="">
      <xdr:nvCxnSpPr>
        <xdr:cNvPr id="12219" name="N_1_1.2">
          <a:extLst>
            <a:ext uri="{FF2B5EF4-FFF2-40B4-BE49-F238E27FC236}">
              <a16:creationId xmlns:a16="http://schemas.microsoft.com/office/drawing/2014/main" id="{00000000-0008-0000-0300-0000BB2F0000}"/>
            </a:ext>
          </a:extLst>
        </xdr:cNvPr>
        <xdr:cNvCxnSpPr>
          <a:stCxn id="12217" idx="2"/>
          <a:endCxn id="12218" idx="0"/>
        </xdr:cNvCxnSpPr>
      </xdr:nvCxnSpPr>
      <xdr:spPr>
        <a:xfrm rot="5400000">
          <a:off x="2828164" y="-430720"/>
          <a:ext cx="480060" cy="4541901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15</xdr:row>
      <xdr:rowOff>21336</xdr:rowOff>
    </xdr:from>
    <xdr:to>
      <xdr:col>2</xdr:col>
      <xdr:colOff>722186</xdr:colOff>
      <xdr:row>18</xdr:row>
      <xdr:rowOff>36576</xdr:rowOff>
    </xdr:to>
    <xdr:sp macro="" textlink="">
      <xdr:nvSpPr>
        <xdr:cNvPr id="12220" name="N_1.2.1">
          <a:extLst>
            <a:ext uri="{FF2B5EF4-FFF2-40B4-BE49-F238E27FC236}">
              <a16:creationId xmlns:a16="http://schemas.microsoft.com/office/drawing/2014/main" id="{00000000-0008-0000-0300-0000BC2F0000}"/>
            </a:ext>
          </a:extLst>
        </xdr:cNvPr>
        <xdr:cNvSpPr/>
      </xdr:nvSpPr>
      <xdr:spPr>
        <a:xfrm>
          <a:off x="908876" y="2848356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2.1 Data storage
100% (4 h / 8 h)
Ende gepl. 20.01.2020 real. 23.01.2020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16</xdr:row>
      <xdr:rowOff>120396</xdr:rowOff>
    </xdr:to>
    <xdr:cxnSp macro="">
      <xdr:nvCxnSpPr>
        <xdr:cNvPr id="12221" name="N_1.2_1.2.1">
          <a:extLst>
            <a:ext uri="{FF2B5EF4-FFF2-40B4-BE49-F238E27FC236}">
              <a16:creationId xmlns:a16="http://schemas.microsoft.com/office/drawing/2014/main" id="{00000000-0008-0000-0300-0000BD2F0000}"/>
            </a:ext>
          </a:extLst>
        </xdr:cNvPr>
        <xdr:cNvCxnSpPr>
          <a:stCxn id="12218" idx="2"/>
          <a:endCxn id="12220" idx="1"/>
        </xdr:cNvCxnSpPr>
      </xdr:nvCxnSpPr>
      <xdr:spPr>
        <a:xfrm rot="16200000" flipH="1">
          <a:off x="648081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18</xdr:row>
      <xdr:rowOff>149352</xdr:rowOff>
    </xdr:from>
    <xdr:to>
      <xdr:col>2</xdr:col>
      <xdr:colOff>722186</xdr:colOff>
      <xdr:row>21</xdr:row>
      <xdr:rowOff>164592</xdr:rowOff>
    </xdr:to>
    <xdr:sp macro="" textlink="">
      <xdr:nvSpPr>
        <xdr:cNvPr id="12222" name="N_1.2.2">
          <a:extLst>
            <a:ext uri="{FF2B5EF4-FFF2-40B4-BE49-F238E27FC236}">
              <a16:creationId xmlns:a16="http://schemas.microsoft.com/office/drawing/2014/main" id="{00000000-0008-0000-0300-0000BE2F0000}"/>
            </a:ext>
          </a:extLst>
        </xdr:cNvPr>
        <xdr:cNvSpPr/>
      </xdr:nvSpPr>
      <xdr:spPr>
        <a:xfrm>
          <a:off x="908876" y="3525012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2.2 Controlling
50% (16 h / 4 h)
Start real. 22.01.2020 Ende gepl. 19.05.2020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20</xdr:row>
      <xdr:rowOff>65532</xdr:rowOff>
    </xdr:to>
    <xdr:cxnSp macro="">
      <xdr:nvCxnSpPr>
        <xdr:cNvPr id="12223" name="N_1.2_1.2.2">
          <a:extLst>
            <a:ext uri="{FF2B5EF4-FFF2-40B4-BE49-F238E27FC236}">
              <a16:creationId xmlns:a16="http://schemas.microsoft.com/office/drawing/2014/main" id="{00000000-0008-0000-0300-0000BF2F0000}"/>
            </a:ext>
          </a:extLst>
        </xdr:cNvPr>
        <xdr:cNvCxnSpPr>
          <a:stCxn id="12218" idx="2"/>
          <a:endCxn id="12222" idx="1"/>
        </xdr:cNvCxnSpPr>
      </xdr:nvCxnSpPr>
      <xdr:spPr>
        <a:xfrm rot="16200000" flipH="1">
          <a:off x="309753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22</xdr:row>
      <xdr:rowOff>94488</xdr:rowOff>
    </xdr:from>
    <xdr:to>
      <xdr:col>2</xdr:col>
      <xdr:colOff>722186</xdr:colOff>
      <xdr:row>25</xdr:row>
      <xdr:rowOff>109728</xdr:rowOff>
    </xdr:to>
    <xdr:sp macro="" textlink="">
      <xdr:nvSpPr>
        <xdr:cNvPr id="12224" name="N_1.2.3">
          <a:extLst>
            <a:ext uri="{FF2B5EF4-FFF2-40B4-BE49-F238E27FC236}">
              <a16:creationId xmlns:a16="http://schemas.microsoft.com/office/drawing/2014/main" id="{00000000-0008-0000-0300-0000C02F0000}"/>
            </a:ext>
          </a:extLst>
        </xdr:cNvPr>
        <xdr:cNvSpPr/>
      </xdr:nvSpPr>
      <xdr:spPr>
        <a:xfrm>
          <a:off x="908876" y="4201668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2.3 Marketing
50% (8 h / 2 h)
Start real. 02.02.2020 Ende gepl. 08.05.2020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24</xdr:row>
      <xdr:rowOff>10668</xdr:rowOff>
    </xdr:to>
    <xdr:cxnSp macro="">
      <xdr:nvCxnSpPr>
        <xdr:cNvPr id="12225" name="N_1.2_1.2.3">
          <a:extLst>
            <a:ext uri="{FF2B5EF4-FFF2-40B4-BE49-F238E27FC236}">
              <a16:creationId xmlns:a16="http://schemas.microsoft.com/office/drawing/2014/main" id="{00000000-0008-0000-0300-0000C12F0000}"/>
            </a:ext>
          </a:extLst>
        </xdr:cNvPr>
        <xdr:cNvCxnSpPr>
          <a:stCxn id="12218" idx="2"/>
          <a:endCxn id="12224" idx="1"/>
        </xdr:cNvCxnSpPr>
      </xdr:nvCxnSpPr>
      <xdr:spPr>
        <a:xfrm rot="16200000" flipH="1">
          <a:off x="-28575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280607</xdr:colOff>
      <xdr:row>10</xdr:row>
      <xdr:rowOff>167640</xdr:rowOff>
    </xdr:from>
    <xdr:to>
      <xdr:col>4</xdr:col>
      <xdr:colOff>290132</xdr:colOff>
      <xdr:row>14</xdr:row>
      <xdr:rowOff>76200</xdr:rowOff>
    </xdr:to>
    <xdr:sp macro="" textlink="">
      <xdr:nvSpPr>
        <xdr:cNvPr id="12226" name="N_1.3">
          <a:extLst>
            <a:ext uri="{FF2B5EF4-FFF2-40B4-BE49-F238E27FC236}">
              <a16:creationId xmlns:a16="http://schemas.microsoft.com/office/drawing/2014/main" id="{00000000-0008-0000-0300-0000C22F0000}"/>
            </a:ext>
          </a:extLst>
        </xdr:cNvPr>
        <xdr:cNvSpPr/>
      </xdr:nvSpPr>
      <xdr:spPr>
        <a:xfrm>
          <a:off x="1865567" y="2080260"/>
          <a:ext cx="1594485" cy="6400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Initialization</a:t>
          </a:r>
        </a:p>
      </xdr:txBody>
    </xdr:sp>
    <xdr:clientData/>
  </xdr:twoCellAnchor>
  <xdr:twoCellAnchor>
    <xdr:from>
      <xdr:col>3</xdr:col>
      <xdr:colOff>285370</xdr:colOff>
      <xdr:row>8</xdr:row>
      <xdr:rowOff>53340</xdr:rowOff>
    </xdr:from>
    <xdr:to>
      <xdr:col>6</xdr:col>
      <xdr:colOff>584264</xdr:colOff>
      <xdr:row>10</xdr:row>
      <xdr:rowOff>167640</xdr:rowOff>
    </xdr:to>
    <xdr:cxnSp macro="">
      <xdr:nvCxnSpPr>
        <xdr:cNvPr id="12227" name="N_1_1.3">
          <a:extLst>
            <a:ext uri="{FF2B5EF4-FFF2-40B4-BE49-F238E27FC236}">
              <a16:creationId xmlns:a16="http://schemas.microsoft.com/office/drawing/2014/main" id="{00000000-0008-0000-0300-0000C32F0000}"/>
            </a:ext>
          </a:extLst>
        </xdr:cNvPr>
        <xdr:cNvCxnSpPr>
          <a:stCxn id="12217" idx="2"/>
          <a:endCxn id="12226" idx="0"/>
        </xdr:cNvCxnSpPr>
      </xdr:nvCxnSpPr>
      <xdr:spPr>
        <a:xfrm rot="5400000">
          <a:off x="3760947" y="502063"/>
          <a:ext cx="480060" cy="2676334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397002</xdr:colOff>
      <xdr:row>15</xdr:row>
      <xdr:rowOff>21336</xdr:rowOff>
    </xdr:from>
    <xdr:to>
      <xdr:col>5</xdr:col>
      <xdr:colOff>210312</xdr:colOff>
      <xdr:row>18</xdr:row>
      <xdr:rowOff>36576</xdr:rowOff>
    </xdr:to>
    <xdr:sp macro="" textlink="">
      <xdr:nvSpPr>
        <xdr:cNvPr id="12228" name="N_1.3.1">
          <a:extLst>
            <a:ext uri="{FF2B5EF4-FFF2-40B4-BE49-F238E27FC236}">
              <a16:creationId xmlns:a16="http://schemas.microsoft.com/office/drawing/2014/main" id="{00000000-0008-0000-0300-0000C42F0000}"/>
            </a:ext>
          </a:extLst>
        </xdr:cNvPr>
        <xdr:cNvSpPr/>
      </xdr:nvSpPr>
      <xdr:spPr>
        <a:xfrm>
          <a:off x="2774442" y="2848356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3.1 Definition
100% (4 h / 3 h)
Ende gepl. 03.02.2020 real. 03.02.2020</a:t>
          </a:r>
        </a:p>
      </xdr:txBody>
    </xdr:sp>
    <xdr:clientData/>
  </xdr:twoCellAnchor>
  <xdr:twoCellAnchor>
    <xdr:from>
      <xdr:col>3</xdr:col>
      <xdr:colOff>285370</xdr:colOff>
      <xdr:row>14</xdr:row>
      <xdr:rowOff>76200</xdr:rowOff>
    </xdr:from>
    <xdr:to>
      <xdr:col>3</xdr:col>
      <xdr:colOff>397002</xdr:colOff>
      <xdr:row>16</xdr:row>
      <xdr:rowOff>120396</xdr:rowOff>
    </xdr:to>
    <xdr:cxnSp macro="">
      <xdr:nvCxnSpPr>
        <xdr:cNvPr id="12229" name="N_1.3_1.3.1">
          <a:extLst>
            <a:ext uri="{FF2B5EF4-FFF2-40B4-BE49-F238E27FC236}">
              <a16:creationId xmlns:a16="http://schemas.microsoft.com/office/drawing/2014/main" id="{00000000-0008-0000-0300-0000C52F0000}"/>
            </a:ext>
          </a:extLst>
        </xdr:cNvPr>
        <xdr:cNvCxnSpPr>
          <a:stCxn id="12226" idx="2"/>
          <a:endCxn id="12228" idx="1"/>
        </xdr:cNvCxnSpPr>
      </xdr:nvCxnSpPr>
      <xdr:spPr>
        <a:xfrm rot="16200000" flipH="1">
          <a:off x="2513648" y="2869502"/>
          <a:ext cx="409956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397002</xdr:colOff>
      <xdr:row>18</xdr:row>
      <xdr:rowOff>149352</xdr:rowOff>
    </xdr:from>
    <xdr:to>
      <xdr:col>5</xdr:col>
      <xdr:colOff>210312</xdr:colOff>
      <xdr:row>21</xdr:row>
      <xdr:rowOff>164592</xdr:rowOff>
    </xdr:to>
    <xdr:sp macro="" textlink="">
      <xdr:nvSpPr>
        <xdr:cNvPr id="12230" name="N_1.3.2">
          <a:extLst>
            <a:ext uri="{FF2B5EF4-FFF2-40B4-BE49-F238E27FC236}">
              <a16:creationId xmlns:a16="http://schemas.microsoft.com/office/drawing/2014/main" id="{00000000-0008-0000-0300-0000C62F0000}"/>
            </a:ext>
          </a:extLst>
        </xdr:cNvPr>
        <xdr:cNvSpPr/>
      </xdr:nvSpPr>
      <xdr:spPr>
        <a:xfrm>
          <a:off x="2774442" y="3525012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3.2 Aims
100% (2 h / 3 h)
Ende gepl. 04.02.2020 real. 03.02.2020</a:t>
          </a:r>
        </a:p>
      </xdr:txBody>
    </xdr:sp>
    <xdr:clientData/>
  </xdr:twoCellAnchor>
  <xdr:twoCellAnchor>
    <xdr:from>
      <xdr:col>3</xdr:col>
      <xdr:colOff>285370</xdr:colOff>
      <xdr:row>14</xdr:row>
      <xdr:rowOff>76200</xdr:rowOff>
    </xdr:from>
    <xdr:to>
      <xdr:col>3</xdr:col>
      <xdr:colOff>397002</xdr:colOff>
      <xdr:row>20</xdr:row>
      <xdr:rowOff>65532</xdr:rowOff>
    </xdr:to>
    <xdr:cxnSp macro="">
      <xdr:nvCxnSpPr>
        <xdr:cNvPr id="12231" name="N_1.3_1.3.2">
          <a:extLst>
            <a:ext uri="{FF2B5EF4-FFF2-40B4-BE49-F238E27FC236}">
              <a16:creationId xmlns:a16="http://schemas.microsoft.com/office/drawing/2014/main" id="{00000000-0008-0000-0300-0000C72F0000}"/>
            </a:ext>
          </a:extLst>
        </xdr:cNvPr>
        <xdr:cNvCxnSpPr>
          <a:stCxn id="12226" idx="2"/>
          <a:endCxn id="12230" idx="1"/>
        </xdr:cNvCxnSpPr>
      </xdr:nvCxnSpPr>
      <xdr:spPr>
        <a:xfrm rot="16200000" flipH="1">
          <a:off x="2175320" y="3207830"/>
          <a:ext cx="1086612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561213</xdr:colOff>
      <xdr:row>10</xdr:row>
      <xdr:rowOff>167640</xdr:rowOff>
    </xdr:from>
    <xdr:to>
      <xdr:col>6</xdr:col>
      <xdr:colOff>570738</xdr:colOff>
      <xdr:row>14</xdr:row>
      <xdr:rowOff>76200</xdr:rowOff>
    </xdr:to>
    <xdr:sp macro="" textlink="">
      <xdr:nvSpPr>
        <xdr:cNvPr id="12232" name="N_1.4">
          <a:extLst>
            <a:ext uri="{FF2B5EF4-FFF2-40B4-BE49-F238E27FC236}">
              <a16:creationId xmlns:a16="http://schemas.microsoft.com/office/drawing/2014/main" id="{00000000-0008-0000-0300-0000C82F0000}"/>
            </a:ext>
          </a:extLst>
        </xdr:cNvPr>
        <xdr:cNvSpPr/>
      </xdr:nvSpPr>
      <xdr:spPr>
        <a:xfrm>
          <a:off x="3731133" y="2080260"/>
          <a:ext cx="1594485" cy="6400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5</xdr:col>
      <xdr:colOff>565976</xdr:colOff>
      <xdr:row>8</xdr:row>
      <xdr:rowOff>53340</xdr:rowOff>
    </xdr:from>
    <xdr:to>
      <xdr:col>6</xdr:col>
      <xdr:colOff>584264</xdr:colOff>
      <xdr:row>10</xdr:row>
      <xdr:rowOff>167640</xdr:rowOff>
    </xdr:to>
    <xdr:cxnSp macro="">
      <xdr:nvCxnSpPr>
        <xdr:cNvPr id="12233" name="N_1_1.4">
          <a:extLst>
            <a:ext uri="{FF2B5EF4-FFF2-40B4-BE49-F238E27FC236}">
              <a16:creationId xmlns:a16="http://schemas.microsoft.com/office/drawing/2014/main" id="{00000000-0008-0000-0300-0000C92F0000}"/>
            </a:ext>
          </a:extLst>
        </xdr:cNvPr>
        <xdr:cNvCxnSpPr>
          <a:stCxn id="12217" idx="2"/>
          <a:endCxn id="12232" idx="0"/>
        </xdr:cNvCxnSpPr>
      </xdr:nvCxnSpPr>
      <xdr:spPr>
        <a:xfrm rot="5400000">
          <a:off x="4693730" y="1434846"/>
          <a:ext cx="480060" cy="810768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15</xdr:row>
      <xdr:rowOff>21336</xdr:rowOff>
    </xdr:from>
    <xdr:to>
      <xdr:col>7</xdr:col>
      <xdr:colOff>490919</xdr:colOff>
      <xdr:row>18</xdr:row>
      <xdr:rowOff>36576</xdr:rowOff>
    </xdr:to>
    <xdr:sp macro="" textlink="">
      <xdr:nvSpPr>
        <xdr:cNvPr id="12234" name="N_1.4.1">
          <a:extLst>
            <a:ext uri="{FF2B5EF4-FFF2-40B4-BE49-F238E27FC236}">
              <a16:creationId xmlns:a16="http://schemas.microsoft.com/office/drawing/2014/main" id="{00000000-0008-0000-0300-0000CA2F0000}"/>
            </a:ext>
          </a:extLst>
        </xdr:cNvPr>
        <xdr:cNvSpPr/>
      </xdr:nvSpPr>
      <xdr:spPr>
        <a:xfrm>
          <a:off x="4640009" y="2848356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4.1 Work prozess
100% (35 h / 37 h)
Ende gepl. 11.02.2020 real. 11.02.2020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16</xdr:row>
      <xdr:rowOff>120396</xdr:rowOff>
    </xdr:to>
    <xdr:cxnSp macro="">
      <xdr:nvCxnSpPr>
        <xdr:cNvPr id="12235" name="N_1.4_1.4.1">
          <a:extLst>
            <a:ext uri="{FF2B5EF4-FFF2-40B4-BE49-F238E27FC236}">
              <a16:creationId xmlns:a16="http://schemas.microsoft.com/office/drawing/2014/main" id="{00000000-0008-0000-0300-0000CB2F0000}"/>
            </a:ext>
          </a:extLst>
        </xdr:cNvPr>
        <xdr:cNvCxnSpPr>
          <a:stCxn id="12232" idx="2"/>
          <a:endCxn id="12234" idx="1"/>
        </xdr:cNvCxnSpPr>
      </xdr:nvCxnSpPr>
      <xdr:spPr>
        <a:xfrm rot="16200000" flipH="1">
          <a:off x="4379214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18</xdr:row>
      <xdr:rowOff>149352</xdr:rowOff>
    </xdr:from>
    <xdr:to>
      <xdr:col>7</xdr:col>
      <xdr:colOff>490919</xdr:colOff>
      <xdr:row>21</xdr:row>
      <xdr:rowOff>164592</xdr:rowOff>
    </xdr:to>
    <xdr:sp macro="" textlink="">
      <xdr:nvSpPr>
        <xdr:cNvPr id="12236" name="N_1.4.2">
          <a:extLst>
            <a:ext uri="{FF2B5EF4-FFF2-40B4-BE49-F238E27FC236}">
              <a16:creationId xmlns:a16="http://schemas.microsoft.com/office/drawing/2014/main" id="{00000000-0008-0000-0300-0000CC2F0000}"/>
            </a:ext>
          </a:extLst>
        </xdr:cNvPr>
        <xdr:cNvSpPr/>
      </xdr:nvSpPr>
      <xdr:spPr>
        <a:xfrm>
          <a:off x="4640009" y="3525012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4.2 Workplace design
100% (70 h / 78 h)
Ende gepl. 25.02.2020 real. 23.02.2020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20</xdr:row>
      <xdr:rowOff>65532</xdr:rowOff>
    </xdr:to>
    <xdr:cxnSp macro="">
      <xdr:nvCxnSpPr>
        <xdr:cNvPr id="12237" name="N_1.4_1.4.2">
          <a:extLst>
            <a:ext uri="{FF2B5EF4-FFF2-40B4-BE49-F238E27FC236}">
              <a16:creationId xmlns:a16="http://schemas.microsoft.com/office/drawing/2014/main" id="{00000000-0008-0000-0300-0000CD2F0000}"/>
            </a:ext>
          </a:extLst>
        </xdr:cNvPr>
        <xdr:cNvCxnSpPr>
          <a:stCxn id="12232" idx="2"/>
          <a:endCxn id="12236" idx="1"/>
        </xdr:cNvCxnSpPr>
      </xdr:nvCxnSpPr>
      <xdr:spPr>
        <a:xfrm rot="16200000" flipH="1">
          <a:off x="4040886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22</xdr:row>
      <xdr:rowOff>94488</xdr:rowOff>
    </xdr:from>
    <xdr:to>
      <xdr:col>7</xdr:col>
      <xdr:colOff>490919</xdr:colOff>
      <xdr:row>25</xdr:row>
      <xdr:rowOff>109728</xdr:rowOff>
    </xdr:to>
    <xdr:sp macro="" textlink="">
      <xdr:nvSpPr>
        <xdr:cNvPr id="12238" name="N_1.4.3">
          <a:extLst>
            <a:ext uri="{FF2B5EF4-FFF2-40B4-BE49-F238E27FC236}">
              <a16:creationId xmlns:a16="http://schemas.microsoft.com/office/drawing/2014/main" id="{00000000-0008-0000-0300-0000CE2F0000}"/>
            </a:ext>
          </a:extLst>
        </xdr:cNvPr>
        <xdr:cNvSpPr/>
      </xdr:nvSpPr>
      <xdr:spPr>
        <a:xfrm>
          <a:off x="4640009" y="4201668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 Search of suppliers
50% ( h /  h)
Start real.  Ende gepl. 27.04.2020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24</xdr:row>
      <xdr:rowOff>10668</xdr:rowOff>
    </xdr:to>
    <xdr:cxnSp macro="">
      <xdr:nvCxnSpPr>
        <xdr:cNvPr id="12239" name="N_1.4_1.4.3">
          <a:extLst>
            <a:ext uri="{FF2B5EF4-FFF2-40B4-BE49-F238E27FC236}">
              <a16:creationId xmlns:a16="http://schemas.microsoft.com/office/drawing/2014/main" id="{00000000-0008-0000-0300-0000CF2F0000}"/>
            </a:ext>
          </a:extLst>
        </xdr:cNvPr>
        <xdr:cNvCxnSpPr>
          <a:stCxn id="12232" idx="2"/>
          <a:endCxn id="12238" idx="1"/>
        </xdr:cNvCxnSpPr>
      </xdr:nvCxnSpPr>
      <xdr:spPr>
        <a:xfrm rot="16200000" flipH="1">
          <a:off x="3702558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</xdr:colOff>
      <xdr:row>26</xdr:row>
      <xdr:rowOff>39624</xdr:rowOff>
    </xdr:from>
    <xdr:to>
      <xdr:col>8</xdr:col>
      <xdr:colOff>607314</xdr:colOff>
      <xdr:row>29</xdr:row>
      <xdr:rowOff>54864</xdr:rowOff>
    </xdr:to>
    <xdr:sp macro="" textlink="">
      <xdr:nvSpPr>
        <xdr:cNvPr id="12240" name="N_1.4.3.1">
          <a:extLst>
            <a:ext uri="{FF2B5EF4-FFF2-40B4-BE49-F238E27FC236}">
              <a16:creationId xmlns:a16="http://schemas.microsoft.com/office/drawing/2014/main" id="{00000000-0008-0000-0300-0000D02F0000}"/>
            </a:ext>
          </a:extLst>
        </xdr:cNvPr>
        <xdr:cNvSpPr/>
      </xdr:nvSpPr>
      <xdr:spPr>
        <a:xfrm>
          <a:off x="5548884" y="4878324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4.3.1 Requirements specification
100% (8 h / 8 h)
Ende gepl. 27.02.2020 real. 26.02.2020</a:t>
          </a:r>
        </a:p>
      </xdr:txBody>
    </xdr:sp>
    <xdr:clientData/>
  </xdr:twoCellAnchor>
  <xdr:twoCellAnchor>
    <xdr:from>
      <xdr:col>6</xdr:col>
      <xdr:colOff>584264</xdr:colOff>
      <xdr:row>25</xdr:row>
      <xdr:rowOff>109728</xdr:rowOff>
    </xdr:from>
    <xdr:to>
      <xdr:col>7</xdr:col>
      <xdr:colOff>1524</xdr:colOff>
      <xdr:row>27</xdr:row>
      <xdr:rowOff>138684</xdr:rowOff>
    </xdr:to>
    <xdr:cxnSp macro="">
      <xdr:nvCxnSpPr>
        <xdr:cNvPr id="12241" name="N_1.4.3_1.4.3.1">
          <a:extLst>
            <a:ext uri="{FF2B5EF4-FFF2-40B4-BE49-F238E27FC236}">
              <a16:creationId xmlns:a16="http://schemas.microsoft.com/office/drawing/2014/main" id="{00000000-0008-0000-0300-0000D12F0000}"/>
            </a:ext>
          </a:extLst>
        </xdr:cNvPr>
        <xdr:cNvCxnSpPr>
          <a:stCxn id="12238" idx="2"/>
          <a:endCxn id="12240" idx="1"/>
        </xdr:cNvCxnSpPr>
      </xdr:nvCxnSpPr>
      <xdr:spPr>
        <a:xfrm rot="16200000" flipH="1">
          <a:off x="5246656" y="4858036"/>
          <a:ext cx="394716" cy="209740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</xdr:colOff>
      <xdr:row>29</xdr:row>
      <xdr:rowOff>167640</xdr:rowOff>
    </xdr:from>
    <xdr:to>
      <xdr:col>8</xdr:col>
      <xdr:colOff>607314</xdr:colOff>
      <xdr:row>33</xdr:row>
      <xdr:rowOff>0</xdr:rowOff>
    </xdr:to>
    <xdr:sp macro="" textlink="">
      <xdr:nvSpPr>
        <xdr:cNvPr id="12242" name="N_1.4.3.2">
          <a:extLst>
            <a:ext uri="{FF2B5EF4-FFF2-40B4-BE49-F238E27FC236}">
              <a16:creationId xmlns:a16="http://schemas.microsoft.com/office/drawing/2014/main" id="{00000000-0008-0000-0300-0000D22F0000}"/>
            </a:ext>
          </a:extLst>
        </xdr:cNvPr>
        <xdr:cNvSpPr/>
      </xdr:nvSpPr>
      <xdr:spPr>
        <a:xfrm>
          <a:off x="5548884" y="5554980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4.3.2 Requests
50% (12 h / 6 h)
Start real. 28.02.2020 Ende gepl. 23.04.2020</a:t>
          </a:r>
        </a:p>
      </xdr:txBody>
    </xdr:sp>
    <xdr:clientData/>
  </xdr:twoCellAnchor>
  <xdr:twoCellAnchor>
    <xdr:from>
      <xdr:col>6</xdr:col>
      <xdr:colOff>584264</xdr:colOff>
      <xdr:row>25</xdr:row>
      <xdr:rowOff>109728</xdr:rowOff>
    </xdr:from>
    <xdr:to>
      <xdr:col>7</xdr:col>
      <xdr:colOff>1524</xdr:colOff>
      <xdr:row>31</xdr:row>
      <xdr:rowOff>83820</xdr:rowOff>
    </xdr:to>
    <xdr:cxnSp macro="">
      <xdr:nvCxnSpPr>
        <xdr:cNvPr id="12243" name="N_1.4.3_1.4.3.2">
          <a:extLst>
            <a:ext uri="{FF2B5EF4-FFF2-40B4-BE49-F238E27FC236}">
              <a16:creationId xmlns:a16="http://schemas.microsoft.com/office/drawing/2014/main" id="{00000000-0008-0000-0300-0000D32F0000}"/>
            </a:ext>
          </a:extLst>
        </xdr:cNvPr>
        <xdr:cNvCxnSpPr>
          <a:stCxn id="12238" idx="2"/>
          <a:endCxn id="12242" idx="1"/>
        </xdr:cNvCxnSpPr>
      </xdr:nvCxnSpPr>
      <xdr:spPr>
        <a:xfrm rot="16200000" flipH="1">
          <a:off x="4908328" y="5196364"/>
          <a:ext cx="1071372" cy="209740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</xdr:colOff>
      <xdr:row>33</xdr:row>
      <xdr:rowOff>112776</xdr:rowOff>
    </xdr:from>
    <xdr:to>
      <xdr:col>8</xdr:col>
      <xdr:colOff>607314</xdr:colOff>
      <xdr:row>36</xdr:row>
      <xdr:rowOff>128016</xdr:rowOff>
    </xdr:to>
    <xdr:sp macro="" textlink="">
      <xdr:nvSpPr>
        <xdr:cNvPr id="12244" name="N_1.4.3.3">
          <a:extLst>
            <a:ext uri="{FF2B5EF4-FFF2-40B4-BE49-F238E27FC236}">
              <a16:creationId xmlns:a16="http://schemas.microsoft.com/office/drawing/2014/main" id="{00000000-0008-0000-0300-0000D42F0000}"/>
            </a:ext>
          </a:extLst>
        </xdr:cNvPr>
        <xdr:cNvSpPr/>
      </xdr:nvSpPr>
      <xdr:spPr>
        <a:xfrm>
          <a:off x="5548884" y="6231636"/>
          <a:ext cx="1398270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4.3.3 Comparison
0% (8 h)
Start gepl. 24.04.2020</a:t>
          </a:r>
        </a:p>
      </xdr:txBody>
    </xdr:sp>
    <xdr:clientData/>
  </xdr:twoCellAnchor>
  <xdr:twoCellAnchor>
    <xdr:from>
      <xdr:col>6</xdr:col>
      <xdr:colOff>584264</xdr:colOff>
      <xdr:row>25</xdr:row>
      <xdr:rowOff>109728</xdr:rowOff>
    </xdr:from>
    <xdr:to>
      <xdr:col>7</xdr:col>
      <xdr:colOff>1524</xdr:colOff>
      <xdr:row>35</xdr:row>
      <xdr:rowOff>28956</xdr:rowOff>
    </xdr:to>
    <xdr:cxnSp macro="">
      <xdr:nvCxnSpPr>
        <xdr:cNvPr id="12245" name="N_1.4.3_1.4.3.3">
          <a:extLst>
            <a:ext uri="{FF2B5EF4-FFF2-40B4-BE49-F238E27FC236}">
              <a16:creationId xmlns:a16="http://schemas.microsoft.com/office/drawing/2014/main" id="{00000000-0008-0000-0300-0000D52F0000}"/>
            </a:ext>
          </a:extLst>
        </xdr:cNvPr>
        <xdr:cNvCxnSpPr>
          <a:stCxn id="12238" idx="2"/>
          <a:endCxn id="12244" idx="1"/>
        </xdr:cNvCxnSpPr>
      </xdr:nvCxnSpPr>
      <xdr:spPr>
        <a:xfrm rot="16200000" flipH="1">
          <a:off x="4570000" y="5534692"/>
          <a:ext cx="1748028" cy="209740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165735</xdr:colOff>
      <xdr:row>10</xdr:row>
      <xdr:rowOff>167640</xdr:rowOff>
    </xdr:from>
    <xdr:to>
      <xdr:col>10</xdr:col>
      <xdr:colOff>175260</xdr:colOff>
      <xdr:row>14</xdr:row>
      <xdr:rowOff>76200</xdr:rowOff>
    </xdr:to>
    <xdr:sp macro="" textlink="">
      <xdr:nvSpPr>
        <xdr:cNvPr id="12246" name="N_1.5">
          <a:extLst>
            <a:ext uri="{FF2B5EF4-FFF2-40B4-BE49-F238E27FC236}">
              <a16:creationId xmlns:a16="http://schemas.microsoft.com/office/drawing/2014/main" id="{00000000-0008-0000-0300-0000D62F0000}"/>
            </a:ext>
          </a:extLst>
        </xdr:cNvPr>
        <xdr:cNvSpPr/>
      </xdr:nvSpPr>
      <xdr:spPr>
        <a:xfrm>
          <a:off x="6505575" y="2080260"/>
          <a:ext cx="1594485" cy="6400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Realization</a:t>
          </a:r>
        </a:p>
      </xdr:txBody>
    </xdr:sp>
    <xdr:clientData/>
  </xdr:twoCellAnchor>
  <xdr:twoCellAnchor>
    <xdr:from>
      <xdr:col>6</xdr:col>
      <xdr:colOff>584264</xdr:colOff>
      <xdr:row>8</xdr:row>
      <xdr:rowOff>53340</xdr:rowOff>
    </xdr:from>
    <xdr:to>
      <xdr:col>9</xdr:col>
      <xdr:colOff>170498</xdr:colOff>
      <xdr:row>10</xdr:row>
      <xdr:rowOff>167640</xdr:rowOff>
    </xdr:to>
    <xdr:cxnSp macro="">
      <xdr:nvCxnSpPr>
        <xdr:cNvPr id="12247" name="N_1_1.5">
          <a:extLst>
            <a:ext uri="{FF2B5EF4-FFF2-40B4-BE49-F238E27FC236}">
              <a16:creationId xmlns:a16="http://schemas.microsoft.com/office/drawing/2014/main" id="{00000000-0008-0000-0300-0000D72F0000}"/>
            </a:ext>
          </a:extLst>
        </xdr:cNvPr>
        <xdr:cNvCxnSpPr>
          <a:stCxn id="12217" idx="2"/>
          <a:endCxn id="12246" idx="0"/>
        </xdr:cNvCxnSpPr>
      </xdr:nvCxnSpPr>
      <xdr:spPr>
        <a:xfrm rot="16200000" flipH="1">
          <a:off x="6080951" y="858393"/>
          <a:ext cx="480060" cy="1963674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15</xdr:row>
      <xdr:rowOff>21336</xdr:rowOff>
    </xdr:from>
    <xdr:to>
      <xdr:col>11</xdr:col>
      <xdr:colOff>95440</xdr:colOff>
      <xdr:row>18</xdr:row>
      <xdr:rowOff>36576</xdr:rowOff>
    </xdr:to>
    <xdr:sp macro="" textlink="">
      <xdr:nvSpPr>
        <xdr:cNvPr id="12248" name="N_1.5.1">
          <a:extLst>
            <a:ext uri="{FF2B5EF4-FFF2-40B4-BE49-F238E27FC236}">
              <a16:creationId xmlns:a16="http://schemas.microsoft.com/office/drawing/2014/main" id="{00000000-0008-0000-0300-0000D82F0000}"/>
            </a:ext>
          </a:extLst>
        </xdr:cNvPr>
        <xdr:cNvSpPr/>
      </xdr:nvSpPr>
      <xdr:spPr>
        <a:xfrm>
          <a:off x="7414451" y="2848356"/>
          <a:ext cx="1398269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5.1 Order of components
50% (12 h /  h)
Start real.  Ende gepl. 29.04.2020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16</xdr:row>
      <xdr:rowOff>120396</xdr:rowOff>
    </xdr:to>
    <xdr:cxnSp macro="">
      <xdr:nvCxnSpPr>
        <xdr:cNvPr id="12249" name="N_1.5_1.5.1">
          <a:extLst>
            <a:ext uri="{FF2B5EF4-FFF2-40B4-BE49-F238E27FC236}">
              <a16:creationId xmlns:a16="http://schemas.microsoft.com/office/drawing/2014/main" id="{00000000-0008-0000-0300-0000D92F0000}"/>
            </a:ext>
          </a:extLst>
        </xdr:cNvPr>
        <xdr:cNvCxnSpPr>
          <a:stCxn id="12246" idx="2"/>
          <a:endCxn id="12248" idx="1"/>
        </xdr:cNvCxnSpPr>
      </xdr:nvCxnSpPr>
      <xdr:spPr>
        <a:xfrm rot="16200000" flipH="1">
          <a:off x="7153656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18</xdr:row>
      <xdr:rowOff>149352</xdr:rowOff>
    </xdr:from>
    <xdr:to>
      <xdr:col>11</xdr:col>
      <xdr:colOff>95440</xdr:colOff>
      <xdr:row>21</xdr:row>
      <xdr:rowOff>164592</xdr:rowOff>
    </xdr:to>
    <xdr:sp macro="" textlink="">
      <xdr:nvSpPr>
        <xdr:cNvPr id="12250" name="N_1.5.2">
          <a:extLst>
            <a:ext uri="{FF2B5EF4-FFF2-40B4-BE49-F238E27FC236}">
              <a16:creationId xmlns:a16="http://schemas.microsoft.com/office/drawing/2014/main" id="{00000000-0008-0000-0300-0000DA2F0000}"/>
            </a:ext>
          </a:extLst>
        </xdr:cNvPr>
        <xdr:cNvSpPr/>
      </xdr:nvSpPr>
      <xdr:spPr>
        <a:xfrm>
          <a:off x="7414451" y="3525012"/>
          <a:ext cx="1398269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5.2 Installation
0% (50 h)
Start gepl. 30.04.2020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20</xdr:row>
      <xdr:rowOff>65532</xdr:rowOff>
    </xdr:to>
    <xdr:cxnSp macro="">
      <xdr:nvCxnSpPr>
        <xdr:cNvPr id="12251" name="N_1.5_1.5.2">
          <a:extLst>
            <a:ext uri="{FF2B5EF4-FFF2-40B4-BE49-F238E27FC236}">
              <a16:creationId xmlns:a16="http://schemas.microsoft.com/office/drawing/2014/main" id="{00000000-0008-0000-0300-0000DB2F0000}"/>
            </a:ext>
          </a:extLst>
        </xdr:cNvPr>
        <xdr:cNvCxnSpPr>
          <a:stCxn id="12246" idx="2"/>
          <a:endCxn id="12250" idx="1"/>
        </xdr:cNvCxnSpPr>
      </xdr:nvCxnSpPr>
      <xdr:spPr>
        <a:xfrm rot="16200000" flipH="1">
          <a:off x="6815328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22</xdr:row>
      <xdr:rowOff>94488</xdr:rowOff>
    </xdr:from>
    <xdr:to>
      <xdr:col>11</xdr:col>
      <xdr:colOff>95440</xdr:colOff>
      <xdr:row>25</xdr:row>
      <xdr:rowOff>109728</xdr:rowOff>
    </xdr:to>
    <xdr:sp macro="" textlink="">
      <xdr:nvSpPr>
        <xdr:cNvPr id="12252" name="N_1.5.3">
          <a:extLst>
            <a:ext uri="{FF2B5EF4-FFF2-40B4-BE49-F238E27FC236}">
              <a16:creationId xmlns:a16="http://schemas.microsoft.com/office/drawing/2014/main" id="{00000000-0008-0000-0300-0000DC2F0000}"/>
            </a:ext>
          </a:extLst>
        </xdr:cNvPr>
        <xdr:cNvSpPr/>
      </xdr:nvSpPr>
      <xdr:spPr>
        <a:xfrm>
          <a:off x="7414451" y="4201668"/>
          <a:ext cx="1398269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5.3 Test phase
0% (40 h)
Start gepl. 08.05.2020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24</xdr:row>
      <xdr:rowOff>10668</xdr:rowOff>
    </xdr:to>
    <xdr:cxnSp macro="">
      <xdr:nvCxnSpPr>
        <xdr:cNvPr id="12253" name="N_1.5_1.5.3">
          <a:extLst>
            <a:ext uri="{FF2B5EF4-FFF2-40B4-BE49-F238E27FC236}">
              <a16:creationId xmlns:a16="http://schemas.microsoft.com/office/drawing/2014/main" id="{00000000-0008-0000-0300-0000DD2F0000}"/>
            </a:ext>
          </a:extLst>
        </xdr:cNvPr>
        <xdr:cNvCxnSpPr>
          <a:stCxn id="12246" idx="2"/>
          <a:endCxn id="12252" idx="1"/>
        </xdr:cNvCxnSpPr>
      </xdr:nvCxnSpPr>
      <xdr:spPr>
        <a:xfrm rot="16200000" flipH="1">
          <a:off x="6477000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26</xdr:row>
      <xdr:rowOff>39624</xdr:rowOff>
    </xdr:from>
    <xdr:to>
      <xdr:col>11</xdr:col>
      <xdr:colOff>95440</xdr:colOff>
      <xdr:row>29</xdr:row>
      <xdr:rowOff>54864</xdr:rowOff>
    </xdr:to>
    <xdr:sp macro="" textlink="">
      <xdr:nvSpPr>
        <xdr:cNvPr id="12254" name="N_1.5.4">
          <a:extLst>
            <a:ext uri="{FF2B5EF4-FFF2-40B4-BE49-F238E27FC236}">
              <a16:creationId xmlns:a16="http://schemas.microsoft.com/office/drawing/2014/main" id="{00000000-0008-0000-0300-0000DE2F0000}"/>
            </a:ext>
          </a:extLst>
        </xdr:cNvPr>
        <xdr:cNvSpPr/>
      </xdr:nvSpPr>
      <xdr:spPr>
        <a:xfrm>
          <a:off x="7414451" y="4878324"/>
          <a:ext cx="1398269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5.4 Optimization
0% (15 h)
Start gepl. 15.05.2020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27</xdr:row>
      <xdr:rowOff>138684</xdr:rowOff>
    </xdr:to>
    <xdr:cxnSp macro="">
      <xdr:nvCxnSpPr>
        <xdr:cNvPr id="12255" name="N_1.5_1.5.4">
          <a:extLst>
            <a:ext uri="{FF2B5EF4-FFF2-40B4-BE49-F238E27FC236}">
              <a16:creationId xmlns:a16="http://schemas.microsoft.com/office/drawing/2014/main" id="{00000000-0008-0000-0300-0000DF2F0000}"/>
            </a:ext>
          </a:extLst>
        </xdr:cNvPr>
        <xdr:cNvCxnSpPr>
          <a:stCxn id="12246" idx="2"/>
          <a:endCxn id="12254" idx="1"/>
        </xdr:cNvCxnSpPr>
      </xdr:nvCxnSpPr>
      <xdr:spPr>
        <a:xfrm rot="16200000" flipH="1">
          <a:off x="6138672" y="3884485"/>
          <a:ext cx="2439924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446342</xdr:colOff>
      <xdr:row>10</xdr:row>
      <xdr:rowOff>167640</xdr:rowOff>
    </xdr:from>
    <xdr:to>
      <xdr:col>12</xdr:col>
      <xdr:colOff>455867</xdr:colOff>
      <xdr:row>14</xdr:row>
      <xdr:rowOff>76200</xdr:rowOff>
    </xdr:to>
    <xdr:sp macro="" textlink="">
      <xdr:nvSpPr>
        <xdr:cNvPr id="12256" name="N_1.6">
          <a:extLst>
            <a:ext uri="{FF2B5EF4-FFF2-40B4-BE49-F238E27FC236}">
              <a16:creationId xmlns:a16="http://schemas.microsoft.com/office/drawing/2014/main" id="{00000000-0008-0000-0300-0000E02F0000}"/>
            </a:ext>
          </a:extLst>
        </xdr:cNvPr>
        <xdr:cNvSpPr/>
      </xdr:nvSpPr>
      <xdr:spPr>
        <a:xfrm>
          <a:off x="8371142" y="2080260"/>
          <a:ext cx="1594485" cy="6400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Closing</a:t>
          </a:r>
        </a:p>
      </xdr:txBody>
    </xdr:sp>
    <xdr:clientData/>
  </xdr:twoCellAnchor>
  <xdr:twoCellAnchor>
    <xdr:from>
      <xdr:col>6</xdr:col>
      <xdr:colOff>584263</xdr:colOff>
      <xdr:row>8</xdr:row>
      <xdr:rowOff>53340</xdr:rowOff>
    </xdr:from>
    <xdr:to>
      <xdr:col>11</xdr:col>
      <xdr:colOff>451104</xdr:colOff>
      <xdr:row>10</xdr:row>
      <xdr:rowOff>167640</xdr:rowOff>
    </xdr:to>
    <xdr:cxnSp macro="">
      <xdr:nvCxnSpPr>
        <xdr:cNvPr id="12257" name="N_1_1.6">
          <a:extLst>
            <a:ext uri="{FF2B5EF4-FFF2-40B4-BE49-F238E27FC236}">
              <a16:creationId xmlns:a16="http://schemas.microsoft.com/office/drawing/2014/main" id="{00000000-0008-0000-0300-0000E12F0000}"/>
            </a:ext>
          </a:extLst>
        </xdr:cNvPr>
        <xdr:cNvCxnSpPr>
          <a:stCxn id="12217" idx="2"/>
          <a:endCxn id="12256" idx="0"/>
        </xdr:cNvCxnSpPr>
      </xdr:nvCxnSpPr>
      <xdr:spPr>
        <a:xfrm rot="16200000" flipH="1">
          <a:off x="7013734" y="-74391"/>
          <a:ext cx="480060" cy="3829241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15</xdr:row>
      <xdr:rowOff>21336</xdr:rowOff>
    </xdr:from>
    <xdr:to>
      <xdr:col>13</xdr:col>
      <xdr:colOff>376047</xdr:colOff>
      <xdr:row>18</xdr:row>
      <xdr:rowOff>36576</xdr:rowOff>
    </xdr:to>
    <xdr:sp macro="" textlink="">
      <xdr:nvSpPr>
        <xdr:cNvPr id="12258" name="N_1.6.1">
          <a:extLst>
            <a:ext uri="{FF2B5EF4-FFF2-40B4-BE49-F238E27FC236}">
              <a16:creationId xmlns:a16="http://schemas.microsoft.com/office/drawing/2014/main" id="{00000000-0008-0000-0300-0000E22F0000}"/>
            </a:ext>
          </a:extLst>
        </xdr:cNvPr>
        <xdr:cNvSpPr/>
      </xdr:nvSpPr>
      <xdr:spPr>
        <a:xfrm>
          <a:off x="9280017" y="2848356"/>
          <a:ext cx="1398270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6.1 Lessons learned
0% (8 h)
Start gepl. 20.05.2020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16</xdr:row>
      <xdr:rowOff>120396</xdr:rowOff>
    </xdr:to>
    <xdr:cxnSp macro="">
      <xdr:nvCxnSpPr>
        <xdr:cNvPr id="12259" name="N_1.6_1.6.1">
          <a:extLst>
            <a:ext uri="{FF2B5EF4-FFF2-40B4-BE49-F238E27FC236}">
              <a16:creationId xmlns:a16="http://schemas.microsoft.com/office/drawing/2014/main" id="{00000000-0008-0000-0300-0000E32F0000}"/>
            </a:ext>
          </a:extLst>
        </xdr:cNvPr>
        <xdr:cNvCxnSpPr>
          <a:stCxn id="12256" idx="2"/>
          <a:endCxn id="12258" idx="1"/>
        </xdr:cNvCxnSpPr>
      </xdr:nvCxnSpPr>
      <xdr:spPr>
        <a:xfrm rot="16200000" flipH="1">
          <a:off x="9019223" y="2869502"/>
          <a:ext cx="409956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18</xdr:row>
      <xdr:rowOff>149352</xdr:rowOff>
    </xdr:from>
    <xdr:to>
      <xdr:col>13</xdr:col>
      <xdr:colOff>376047</xdr:colOff>
      <xdr:row>21</xdr:row>
      <xdr:rowOff>164592</xdr:rowOff>
    </xdr:to>
    <xdr:sp macro="" textlink="">
      <xdr:nvSpPr>
        <xdr:cNvPr id="12260" name="N_1.6.2">
          <a:extLst>
            <a:ext uri="{FF2B5EF4-FFF2-40B4-BE49-F238E27FC236}">
              <a16:creationId xmlns:a16="http://schemas.microsoft.com/office/drawing/2014/main" id="{00000000-0008-0000-0300-0000E42F0000}"/>
            </a:ext>
          </a:extLst>
        </xdr:cNvPr>
        <xdr:cNvSpPr/>
      </xdr:nvSpPr>
      <xdr:spPr>
        <a:xfrm>
          <a:off x="9280017" y="3525012"/>
          <a:ext cx="1398270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6.2 Final report
0% (4 h)
Start gepl. 21.05.2020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20</xdr:row>
      <xdr:rowOff>65532</xdr:rowOff>
    </xdr:to>
    <xdr:cxnSp macro="">
      <xdr:nvCxnSpPr>
        <xdr:cNvPr id="12261" name="N_1.6_1.6.2">
          <a:extLst>
            <a:ext uri="{FF2B5EF4-FFF2-40B4-BE49-F238E27FC236}">
              <a16:creationId xmlns:a16="http://schemas.microsoft.com/office/drawing/2014/main" id="{00000000-0008-0000-0300-0000E52F0000}"/>
            </a:ext>
          </a:extLst>
        </xdr:cNvPr>
        <xdr:cNvCxnSpPr>
          <a:stCxn id="12256" idx="2"/>
          <a:endCxn id="12260" idx="1"/>
        </xdr:cNvCxnSpPr>
      </xdr:nvCxnSpPr>
      <xdr:spPr>
        <a:xfrm rot="16200000" flipH="1">
          <a:off x="8680895" y="3207830"/>
          <a:ext cx="1086612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techpluscode.de/work-breakdown-structure-wbs-in-3-minutes/" TargetMode="External"/><Relationship Id="rId1" Type="http://schemas.openxmlformats.org/officeDocument/2006/relationships/hyperlink" Target="https://techpluscode.de/projekt-struktur-plan-psp-in-3-minuten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workbookViewId="0">
      <selection activeCell="J8" sqref="J8"/>
    </sheetView>
  </sheetViews>
  <sheetFormatPr baseColWidth="10" defaultRowHeight="14.4" x14ac:dyDescent="0.3"/>
  <cols>
    <col min="1" max="3" width="11.5546875" style="47"/>
    <col min="4" max="4" width="11.5546875" style="54"/>
    <col min="5" max="16384" width="11.5546875" style="47"/>
  </cols>
  <sheetData>
    <row r="1" spans="1:6" x14ac:dyDescent="0.3">
      <c r="B1" s="48" t="s">
        <v>148</v>
      </c>
      <c r="C1" s="48" t="s">
        <v>149</v>
      </c>
      <c r="D1" s="49" t="s">
        <v>150</v>
      </c>
      <c r="E1" s="48" t="s">
        <v>64</v>
      </c>
      <c r="F1" s="48" t="s">
        <v>151</v>
      </c>
    </row>
    <row r="2" spans="1:6" ht="57.6" x14ac:dyDescent="0.3">
      <c r="A2" s="47">
        <v>1</v>
      </c>
      <c r="B2" s="49" t="s">
        <v>85</v>
      </c>
      <c r="C2" s="49"/>
      <c r="D2" s="49"/>
      <c r="E2" s="48"/>
      <c r="F2" s="48"/>
    </row>
    <row r="3" spans="1:6" ht="43.2" x14ac:dyDescent="0.3">
      <c r="A3" s="47" t="str">
        <f t="shared" ref="A3:A24" si="0">"1."&amp;D3</f>
        <v>1.2</v>
      </c>
      <c r="B3" s="39" t="s">
        <v>86</v>
      </c>
      <c r="C3" s="39"/>
      <c r="D3" s="40" t="s">
        <v>51</v>
      </c>
      <c r="E3" s="39" t="s">
        <v>87</v>
      </c>
      <c r="F3" s="39" t="s">
        <v>87</v>
      </c>
    </row>
    <row r="4" spans="1:6" ht="28.8" x14ac:dyDescent="0.3">
      <c r="A4" s="47" t="str">
        <f t="shared" si="0"/>
        <v>1.2.1</v>
      </c>
      <c r="B4" s="39" t="s">
        <v>88</v>
      </c>
      <c r="C4" s="39"/>
      <c r="D4" s="40" t="s">
        <v>89</v>
      </c>
      <c r="E4" s="39" t="s">
        <v>87</v>
      </c>
      <c r="F4" s="39" t="s">
        <v>87</v>
      </c>
    </row>
    <row r="5" spans="1:6" ht="28.8" x14ac:dyDescent="0.3">
      <c r="A5" s="47" t="str">
        <f t="shared" si="0"/>
        <v>1.2.2</v>
      </c>
      <c r="B5" s="50" t="s">
        <v>90</v>
      </c>
      <c r="C5" s="50"/>
      <c r="D5" s="51" t="s">
        <v>91</v>
      </c>
      <c r="E5" s="50" t="s">
        <v>87</v>
      </c>
      <c r="F5" s="50" t="s">
        <v>87</v>
      </c>
    </row>
    <row r="6" spans="1:6" ht="28.8" x14ac:dyDescent="0.3">
      <c r="A6" s="47" t="str">
        <f t="shared" si="0"/>
        <v>1.2.3</v>
      </c>
      <c r="B6" s="41" t="s">
        <v>92</v>
      </c>
      <c r="C6" s="41"/>
      <c r="D6" s="42" t="s">
        <v>93</v>
      </c>
      <c r="E6" s="41" t="s">
        <v>87</v>
      </c>
      <c r="F6" s="41" t="s">
        <v>87</v>
      </c>
    </row>
    <row r="7" spans="1:6" ht="28.8" x14ac:dyDescent="0.3">
      <c r="A7" s="47" t="str">
        <f t="shared" si="0"/>
        <v>1.3</v>
      </c>
      <c r="B7" s="39" t="s">
        <v>94</v>
      </c>
      <c r="C7" s="39"/>
      <c r="D7" s="40" t="s">
        <v>52</v>
      </c>
      <c r="E7" s="39" t="s">
        <v>95</v>
      </c>
      <c r="F7" s="39" t="s">
        <v>96</v>
      </c>
    </row>
    <row r="8" spans="1:6" ht="28.8" x14ac:dyDescent="0.3">
      <c r="A8" s="47" t="str">
        <f t="shared" si="0"/>
        <v>1.3.1</v>
      </c>
      <c r="B8" s="50" t="s">
        <v>97</v>
      </c>
      <c r="C8" s="50"/>
      <c r="D8" s="51" t="s">
        <v>53</v>
      </c>
      <c r="E8" s="50" t="s">
        <v>95</v>
      </c>
      <c r="F8" s="50" t="s">
        <v>95</v>
      </c>
    </row>
    <row r="9" spans="1:6" ht="28.8" x14ac:dyDescent="0.3">
      <c r="A9" s="47" t="str">
        <f t="shared" si="0"/>
        <v>1.3.2</v>
      </c>
      <c r="B9" s="41" t="s">
        <v>98</v>
      </c>
      <c r="C9" s="41"/>
      <c r="D9" s="42" t="s">
        <v>54</v>
      </c>
      <c r="E9" s="41" t="s">
        <v>96</v>
      </c>
      <c r="F9" s="41" t="s">
        <v>96</v>
      </c>
    </row>
    <row r="10" spans="1:6" ht="28.8" x14ac:dyDescent="0.3">
      <c r="A10" s="47" t="str">
        <f t="shared" si="0"/>
        <v>1.4</v>
      </c>
      <c r="B10" s="39" t="s">
        <v>99</v>
      </c>
      <c r="C10" s="39"/>
      <c r="D10" s="40" t="s">
        <v>55</v>
      </c>
      <c r="E10" s="39" t="s">
        <v>100</v>
      </c>
      <c r="F10" s="39" t="s">
        <v>101</v>
      </c>
    </row>
    <row r="11" spans="1:6" ht="43.2" x14ac:dyDescent="0.3">
      <c r="A11" s="47" t="str">
        <f t="shared" si="0"/>
        <v>1.4.1</v>
      </c>
      <c r="B11" s="41" t="s">
        <v>102</v>
      </c>
      <c r="C11" s="41"/>
      <c r="D11" s="42" t="s">
        <v>56</v>
      </c>
      <c r="E11" s="41" t="s">
        <v>100</v>
      </c>
      <c r="F11" s="41" t="s">
        <v>103</v>
      </c>
    </row>
    <row r="12" spans="1:6" ht="43.2" x14ac:dyDescent="0.3">
      <c r="A12" s="47" t="str">
        <f t="shared" si="0"/>
        <v>1.4.2</v>
      </c>
      <c r="B12" s="39" t="s">
        <v>104</v>
      </c>
      <c r="C12" s="39"/>
      <c r="D12" s="40" t="s">
        <v>57</v>
      </c>
      <c r="E12" s="39" t="s">
        <v>105</v>
      </c>
      <c r="F12" s="39" t="s">
        <v>106</v>
      </c>
    </row>
    <row r="13" spans="1:6" ht="43.2" x14ac:dyDescent="0.3">
      <c r="A13" s="47" t="str">
        <f t="shared" si="0"/>
        <v>1.4.3</v>
      </c>
      <c r="B13" s="39" t="s">
        <v>107</v>
      </c>
      <c r="C13" s="39"/>
      <c r="D13" s="40" t="s">
        <v>58</v>
      </c>
      <c r="E13" s="39" t="s">
        <v>108</v>
      </c>
      <c r="F13" s="39" t="s">
        <v>101</v>
      </c>
    </row>
    <row r="14" spans="1:6" ht="28.8" x14ac:dyDescent="0.3">
      <c r="A14" s="47" t="str">
        <f t="shared" si="0"/>
        <v>1.4.3.1</v>
      </c>
      <c r="B14" s="39" t="s">
        <v>110</v>
      </c>
      <c r="C14" s="39"/>
      <c r="D14" s="40" t="s">
        <v>111</v>
      </c>
      <c r="E14" s="39" t="s">
        <v>108</v>
      </c>
      <c r="F14" s="39" t="s">
        <v>112</v>
      </c>
    </row>
    <row r="15" spans="1:6" x14ac:dyDescent="0.3">
      <c r="A15" s="47" t="str">
        <f t="shared" si="0"/>
        <v>1.4.3.2</v>
      </c>
      <c r="B15" s="50" t="s">
        <v>114</v>
      </c>
      <c r="C15" s="50"/>
      <c r="D15" s="51" t="s">
        <v>115</v>
      </c>
      <c r="E15" s="50" t="s">
        <v>116</v>
      </c>
      <c r="F15" s="50" t="s">
        <v>117</v>
      </c>
    </row>
    <row r="16" spans="1:6" ht="28.8" x14ac:dyDescent="0.3">
      <c r="A16" s="47" t="str">
        <f t="shared" si="0"/>
        <v>1.4.3.3</v>
      </c>
      <c r="B16" s="41" t="s">
        <v>119</v>
      </c>
      <c r="C16" s="41"/>
      <c r="D16" s="42" t="s">
        <v>120</v>
      </c>
      <c r="E16" s="41" t="s">
        <v>121</v>
      </c>
      <c r="F16" s="41" t="s">
        <v>101</v>
      </c>
    </row>
    <row r="17" spans="1:6" x14ac:dyDescent="0.3">
      <c r="A17" s="47" t="str">
        <f t="shared" si="0"/>
        <v>1.5</v>
      </c>
      <c r="B17" s="39" t="s">
        <v>122</v>
      </c>
      <c r="C17" s="39"/>
      <c r="D17" s="40" t="s">
        <v>59</v>
      </c>
      <c r="E17" s="39" t="s">
        <v>123</v>
      </c>
      <c r="F17" s="39" t="s">
        <v>124</v>
      </c>
    </row>
    <row r="18" spans="1:6" ht="43.2" x14ac:dyDescent="0.3">
      <c r="A18" s="47" t="str">
        <f t="shared" si="0"/>
        <v>1.5.1</v>
      </c>
      <c r="B18" s="39" t="s">
        <v>125</v>
      </c>
      <c r="C18" s="39"/>
      <c r="D18" s="40" t="s">
        <v>60</v>
      </c>
      <c r="E18" s="39" t="s">
        <v>123</v>
      </c>
      <c r="F18" s="39" t="s">
        <v>126</v>
      </c>
    </row>
    <row r="19" spans="1:6" x14ac:dyDescent="0.3">
      <c r="A19" s="47" t="str">
        <f t="shared" si="0"/>
        <v>1.5.2</v>
      </c>
      <c r="B19" s="39" t="s">
        <v>127</v>
      </c>
      <c r="C19" s="39"/>
      <c r="D19" s="40" t="s">
        <v>61</v>
      </c>
      <c r="E19" s="39" t="s">
        <v>128</v>
      </c>
      <c r="F19" s="39" t="s">
        <v>129</v>
      </c>
    </row>
    <row r="20" spans="1:6" x14ac:dyDescent="0.3">
      <c r="A20" s="47" t="str">
        <f t="shared" si="0"/>
        <v>1.5.3</v>
      </c>
      <c r="B20" s="50" t="s">
        <v>130</v>
      </c>
      <c r="C20" s="50"/>
      <c r="D20" s="51" t="s">
        <v>65</v>
      </c>
      <c r="E20" s="50" t="s">
        <v>131</v>
      </c>
      <c r="F20" s="50" t="s">
        <v>132</v>
      </c>
    </row>
    <row r="21" spans="1:6" ht="28.8" x14ac:dyDescent="0.3">
      <c r="A21" s="47" t="str">
        <f t="shared" si="0"/>
        <v>1.5.4</v>
      </c>
      <c r="B21" s="41" t="s">
        <v>134</v>
      </c>
      <c r="C21" s="41"/>
      <c r="D21" s="42" t="s">
        <v>135</v>
      </c>
      <c r="E21" s="41" t="s">
        <v>136</v>
      </c>
      <c r="F21" s="41" t="s">
        <v>124</v>
      </c>
    </row>
    <row r="22" spans="1:6" ht="28.8" x14ac:dyDescent="0.3">
      <c r="A22" s="47" t="str">
        <f t="shared" si="0"/>
        <v>1.6</v>
      </c>
      <c r="B22" s="39" t="s">
        <v>4</v>
      </c>
      <c r="C22" s="39"/>
      <c r="D22" s="40" t="s">
        <v>138</v>
      </c>
      <c r="E22" s="39" t="s">
        <v>139</v>
      </c>
      <c r="F22" s="39" t="s">
        <v>140</v>
      </c>
    </row>
    <row r="23" spans="1:6" x14ac:dyDescent="0.3">
      <c r="A23" s="47" t="str">
        <f t="shared" si="0"/>
        <v>1.6.1</v>
      </c>
      <c r="B23" s="52" t="s">
        <v>142</v>
      </c>
      <c r="C23" s="52"/>
      <c r="D23" s="53" t="s">
        <v>143</v>
      </c>
      <c r="E23" s="52" t="s">
        <v>139</v>
      </c>
      <c r="F23" s="52" t="s">
        <v>139</v>
      </c>
    </row>
    <row r="24" spans="1:6" x14ac:dyDescent="0.3">
      <c r="A24" s="47" t="str">
        <f t="shared" si="0"/>
        <v>1.6.2</v>
      </c>
      <c r="B24" s="52" t="s">
        <v>145</v>
      </c>
      <c r="C24" s="52"/>
      <c r="D24" s="53" t="s">
        <v>146</v>
      </c>
      <c r="E24" s="52" t="s">
        <v>140</v>
      </c>
      <c r="F24" s="52" t="s">
        <v>140</v>
      </c>
    </row>
    <row r="25" spans="1:6" x14ac:dyDescent="0.3">
      <c r="B25" s="43"/>
      <c r="C25" s="43"/>
      <c r="D25" s="44"/>
      <c r="E25" s="43"/>
      <c r="F25" s="43"/>
    </row>
    <row r="26" spans="1:6" x14ac:dyDescent="0.3">
      <c r="B26" s="43"/>
      <c r="C26" s="43"/>
      <c r="D26" s="44"/>
      <c r="E26" s="43"/>
      <c r="F26" s="43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Q60"/>
  <sheetViews>
    <sheetView tabSelected="1" workbookViewId="0">
      <selection activeCell="D9" sqref="D9"/>
    </sheetView>
  </sheetViews>
  <sheetFormatPr baseColWidth="10" defaultColWidth="11.5546875" defaultRowHeight="13.2" x14ac:dyDescent="0.25"/>
  <cols>
    <col min="1" max="1" width="15.6640625" style="9" customWidth="1"/>
    <col min="2" max="2" width="31.44140625" style="7" customWidth="1"/>
    <col min="3" max="3" width="11.5546875" style="28"/>
    <col min="4" max="4" width="11.5546875" style="8"/>
    <col min="5" max="8" width="11.5546875" style="38"/>
    <col min="9" max="13" width="11.5546875" style="34"/>
    <col min="14" max="14" width="11.5546875" style="5"/>
    <col min="15" max="16384" width="11.5546875" style="4"/>
  </cols>
  <sheetData>
    <row r="1" spans="1:17" ht="21" x14ac:dyDescent="0.4">
      <c r="A1" s="17" t="s">
        <v>22</v>
      </c>
      <c r="B1" s="4"/>
      <c r="C1" s="26"/>
      <c r="D1" s="5"/>
      <c r="E1" s="36"/>
      <c r="F1" s="36"/>
      <c r="G1" s="36"/>
      <c r="H1" s="36"/>
      <c r="I1" s="31"/>
      <c r="J1" s="31"/>
      <c r="K1" s="31"/>
      <c r="L1" s="31"/>
      <c r="M1" s="31"/>
    </row>
    <row r="2" spans="1:17" ht="80.400000000000006" customHeight="1" x14ac:dyDescent="0.25">
      <c r="A2" s="56" t="s">
        <v>45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</row>
    <row r="3" spans="1:17" ht="25.2" customHeight="1" x14ac:dyDescent="0.25">
      <c r="A3" s="19"/>
      <c r="B3" s="20"/>
      <c r="C3" s="20"/>
      <c r="D3" s="20" t="s">
        <v>70</v>
      </c>
      <c r="E3" s="45" t="s">
        <v>156</v>
      </c>
      <c r="F3" s="45" t="s">
        <v>157</v>
      </c>
      <c r="G3" s="45" t="s">
        <v>152</v>
      </c>
      <c r="H3" s="45" t="s">
        <v>153</v>
      </c>
      <c r="I3" s="46" t="s">
        <v>154</v>
      </c>
      <c r="J3" s="46" t="s">
        <v>155</v>
      </c>
      <c r="K3" s="32" t="s">
        <v>63</v>
      </c>
      <c r="L3" s="32"/>
      <c r="M3" s="32"/>
    </row>
    <row r="4" spans="1:17" x14ac:dyDescent="0.25">
      <c r="A4" s="1" t="s">
        <v>19</v>
      </c>
      <c r="B4" s="2" t="s">
        <v>0</v>
      </c>
      <c r="C4" s="27" t="s">
        <v>21</v>
      </c>
      <c r="D4" s="2" t="s">
        <v>24</v>
      </c>
      <c r="E4" s="37" t="s">
        <v>25</v>
      </c>
      <c r="F4" s="37" t="s">
        <v>26</v>
      </c>
      <c r="G4" s="37" t="s">
        <v>27</v>
      </c>
      <c r="H4" s="37" t="s">
        <v>28</v>
      </c>
      <c r="I4" s="33" t="s">
        <v>71</v>
      </c>
      <c r="J4" s="33" t="s">
        <v>72</v>
      </c>
      <c r="K4" s="33" t="s">
        <v>73</v>
      </c>
      <c r="L4" s="33" t="s">
        <v>74</v>
      </c>
      <c r="M4" s="33" t="s">
        <v>75</v>
      </c>
      <c r="N4" s="6"/>
      <c r="O4" s="3" t="s">
        <v>17</v>
      </c>
      <c r="P4" s="3" t="s">
        <v>18</v>
      </c>
      <c r="Q4" s="3" t="s">
        <v>20</v>
      </c>
    </row>
    <row r="5" spans="1:17" x14ac:dyDescent="0.25">
      <c r="A5" s="9">
        <v>1</v>
      </c>
      <c r="B5" s="7" t="s">
        <v>175</v>
      </c>
      <c r="C5" s="28">
        <v>0.5</v>
      </c>
      <c r="D5" s="7"/>
      <c r="M5" s="35"/>
      <c r="O5" s="4">
        <v>659.14500236511219</v>
      </c>
      <c r="P5" s="4">
        <v>163.80000305175781</v>
      </c>
      <c r="Q5" s="4">
        <v>5</v>
      </c>
    </row>
    <row r="6" spans="1:17" x14ac:dyDescent="0.25">
      <c r="A6" s="9" t="s">
        <v>1</v>
      </c>
      <c r="B6" s="7" t="s">
        <v>176</v>
      </c>
      <c r="C6" s="28">
        <v>0.5</v>
      </c>
      <c r="D6" s="21" t="s">
        <v>51</v>
      </c>
      <c r="E6" s="38">
        <v>43850</v>
      </c>
      <c r="F6" s="38">
        <v>43850</v>
      </c>
      <c r="G6" s="38">
        <v>43850</v>
      </c>
      <c r="M6" s="35"/>
      <c r="O6" s="4">
        <v>71.564999008178717</v>
      </c>
      <c r="P6" s="4">
        <v>330.84000854492189</v>
      </c>
      <c r="Q6" s="4">
        <v>3</v>
      </c>
    </row>
    <row r="7" spans="1:17" x14ac:dyDescent="0.25">
      <c r="A7" s="9" t="s">
        <v>6</v>
      </c>
      <c r="B7" s="7" t="s">
        <v>177</v>
      </c>
      <c r="C7" s="28">
        <v>1</v>
      </c>
      <c r="D7" s="7" t="s">
        <v>89</v>
      </c>
      <c r="E7" s="38">
        <v>43850</v>
      </c>
      <c r="F7" s="38">
        <v>43852</v>
      </c>
      <c r="G7" s="38">
        <v>43850</v>
      </c>
      <c r="H7" s="38">
        <v>43853</v>
      </c>
      <c r="I7" s="34">
        <v>4</v>
      </c>
      <c r="J7" s="34">
        <v>8</v>
      </c>
      <c r="M7" s="35"/>
      <c r="O7" s="4">
        <v>71.564999008178717</v>
      </c>
      <c r="P7" s="4">
        <v>224.28000488281251</v>
      </c>
      <c r="Q7" s="4">
        <v>0</v>
      </c>
    </row>
    <row r="8" spans="1:17" x14ac:dyDescent="0.25">
      <c r="A8" s="9" t="s">
        <v>7</v>
      </c>
      <c r="B8" s="7" t="s">
        <v>159</v>
      </c>
      <c r="C8" s="28">
        <v>0.5</v>
      </c>
      <c r="D8" s="7" t="s">
        <v>91</v>
      </c>
      <c r="E8" s="38">
        <v>43850</v>
      </c>
      <c r="F8" s="38">
        <v>43852</v>
      </c>
      <c r="G8" s="38">
        <v>43970</v>
      </c>
      <c r="I8" s="34">
        <v>16</v>
      </c>
      <c r="J8" s="34">
        <v>4</v>
      </c>
      <c r="M8" s="35"/>
      <c r="O8" s="4">
        <v>71.564999008178717</v>
      </c>
      <c r="P8" s="4">
        <v>277.56000671386721</v>
      </c>
      <c r="Q8" s="4">
        <v>0</v>
      </c>
    </row>
    <row r="9" spans="1:17" x14ac:dyDescent="0.25">
      <c r="A9" s="9" t="s">
        <v>8</v>
      </c>
      <c r="B9" s="7" t="s">
        <v>160</v>
      </c>
      <c r="C9" s="28">
        <v>0.5</v>
      </c>
      <c r="D9" s="7" t="s">
        <v>93</v>
      </c>
      <c r="E9" s="38">
        <v>43850</v>
      </c>
      <c r="F9" s="38">
        <v>43863</v>
      </c>
      <c r="G9" s="38">
        <v>43959</v>
      </c>
      <c r="I9" s="34">
        <v>8</v>
      </c>
      <c r="J9" s="34">
        <v>2</v>
      </c>
      <c r="M9" s="35"/>
      <c r="O9" s="4">
        <v>71.564999008178717</v>
      </c>
      <c r="P9" s="4">
        <v>330.84000854492189</v>
      </c>
      <c r="Q9" s="4">
        <v>0</v>
      </c>
    </row>
    <row r="10" spans="1:17" x14ac:dyDescent="0.25">
      <c r="A10" s="9" t="s">
        <v>2</v>
      </c>
      <c r="B10" s="7" t="s">
        <v>178</v>
      </c>
      <c r="C10" s="28">
        <v>1</v>
      </c>
      <c r="D10" s="7" t="s">
        <v>52</v>
      </c>
      <c r="E10" s="38">
        <v>43864</v>
      </c>
      <c r="G10" s="38">
        <v>43865</v>
      </c>
      <c r="M10" s="35"/>
      <c r="O10" s="4">
        <v>218.45999984741212</v>
      </c>
      <c r="P10" s="4">
        <v>277.56000671386721</v>
      </c>
      <c r="Q10" s="4">
        <v>2</v>
      </c>
    </row>
    <row r="11" spans="1:17" x14ac:dyDescent="0.25">
      <c r="A11" s="9" t="s">
        <v>9</v>
      </c>
      <c r="B11" s="7" t="s">
        <v>161</v>
      </c>
      <c r="C11" s="28">
        <v>1</v>
      </c>
      <c r="D11" s="7" t="s">
        <v>53</v>
      </c>
      <c r="E11" s="38">
        <v>43864</v>
      </c>
      <c r="F11" s="38">
        <v>43864</v>
      </c>
      <c r="G11" s="38">
        <v>43864</v>
      </c>
      <c r="H11" s="38">
        <v>43864</v>
      </c>
      <c r="I11" s="34">
        <v>4</v>
      </c>
      <c r="J11" s="34">
        <v>3</v>
      </c>
      <c r="M11" s="35"/>
      <c r="O11" s="4">
        <v>218.45999984741212</v>
      </c>
      <c r="P11" s="4">
        <v>224.28000488281251</v>
      </c>
      <c r="Q11" s="4">
        <v>0</v>
      </c>
    </row>
    <row r="12" spans="1:17" x14ac:dyDescent="0.25">
      <c r="A12" s="9" t="s">
        <v>10</v>
      </c>
      <c r="B12" s="7" t="s">
        <v>179</v>
      </c>
      <c r="C12" s="28">
        <v>1</v>
      </c>
      <c r="D12" s="7" t="s">
        <v>54</v>
      </c>
      <c r="E12" s="38">
        <v>43865</v>
      </c>
      <c r="F12" s="38">
        <v>43864</v>
      </c>
      <c r="G12" s="38">
        <v>43865</v>
      </c>
      <c r="H12" s="38">
        <v>43864</v>
      </c>
      <c r="I12" s="34">
        <v>2</v>
      </c>
      <c r="J12" s="34">
        <v>3</v>
      </c>
      <c r="M12" s="35"/>
      <c r="O12" s="4">
        <v>218.45999984741212</v>
      </c>
      <c r="P12" s="4">
        <v>277.56000671386721</v>
      </c>
      <c r="Q12" s="4">
        <v>0</v>
      </c>
    </row>
    <row r="13" spans="1:17" x14ac:dyDescent="0.25">
      <c r="A13" s="9" t="s">
        <v>3</v>
      </c>
      <c r="B13" s="7" t="s">
        <v>180</v>
      </c>
      <c r="C13" s="28">
        <v>0.5</v>
      </c>
      <c r="D13" s="7" t="s">
        <v>55</v>
      </c>
      <c r="E13" s="38">
        <v>43866</v>
      </c>
      <c r="G13" s="38">
        <v>43948</v>
      </c>
      <c r="M13" s="35"/>
      <c r="O13" s="4">
        <v>365.3550006866455</v>
      </c>
      <c r="P13" s="4">
        <v>490.68001403808591</v>
      </c>
      <c r="Q13" s="4">
        <v>3</v>
      </c>
    </row>
    <row r="14" spans="1:17" x14ac:dyDescent="0.25">
      <c r="A14" s="9" t="s">
        <v>11</v>
      </c>
      <c r="B14" s="7" t="s">
        <v>181</v>
      </c>
      <c r="C14" s="28">
        <v>1</v>
      </c>
      <c r="D14" s="7" t="s">
        <v>56</v>
      </c>
      <c r="E14" s="38">
        <v>43866</v>
      </c>
      <c r="F14" s="38">
        <v>43865</v>
      </c>
      <c r="G14" s="38">
        <v>43872</v>
      </c>
      <c r="H14" s="38">
        <v>43872</v>
      </c>
      <c r="I14" s="34">
        <v>35</v>
      </c>
      <c r="J14" s="34">
        <v>37</v>
      </c>
      <c r="M14" s="35"/>
      <c r="O14" s="4">
        <v>365.3550006866455</v>
      </c>
      <c r="P14" s="4">
        <v>490.68001403808591</v>
      </c>
      <c r="Q14" s="4">
        <v>3</v>
      </c>
    </row>
    <row r="15" spans="1:17" x14ac:dyDescent="0.25">
      <c r="A15" s="9" t="s">
        <v>12</v>
      </c>
      <c r="B15" s="7" t="s">
        <v>182</v>
      </c>
      <c r="C15" s="28">
        <v>1</v>
      </c>
      <c r="D15" s="7" t="s">
        <v>57</v>
      </c>
      <c r="E15" s="38">
        <v>43873</v>
      </c>
      <c r="F15" s="38">
        <v>43873</v>
      </c>
      <c r="G15" s="38">
        <v>43886</v>
      </c>
      <c r="H15" s="38">
        <v>43884</v>
      </c>
      <c r="I15" s="34">
        <v>70</v>
      </c>
      <c r="J15" s="34">
        <v>78</v>
      </c>
      <c r="M15" s="35"/>
      <c r="O15" s="4">
        <v>365.3550006866455</v>
      </c>
      <c r="P15" s="4">
        <v>490.68001403808591</v>
      </c>
      <c r="Q15" s="4">
        <v>3</v>
      </c>
    </row>
    <row r="16" spans="1:17" x14ac:dyDescent="0.25">
      <c r="A16" s="9" t="s">
        <v>13</v>
      </c>
      <c r="B16" s="7" t="s">
        <v>183</v>
      </c>
      <c r="C16" s="28">
        <v>0.5</v>
      </c>
      <c r="D16" s="7" t="s">
        <v>58</v>
      </c>
      <c r="E16" s="38">
        <v>43887</v>
      </c>
      <c r="G16" s="38">
        <v>43948</v>
      </c>
      <c r="M16" s="35"/>
      <c r="O16" s="4">
        <v>436.91999969482418</v>
      </c>
      <c r="P16" s="4">
        <v>490.68001403808591</v>
      </c>
      <c r="Q16" s="4">
        <v>3</v>
      </c>
    </row>
    <row r="17" spans="1:17" x14ac:dyDescent="0.25">
      <c r="A17" s="9" t="s">
        <v>109</v>
      </c>
      <c r="B17" s="7" t="s">
        <v>184</v>
      </c>
      <c r="C17" s="28">
        <v>1</v>
      </c>
      <c r="D17" s="7" t="s">
        <v>111</v>
      </c>
      <c r="E17" s="38">
        <v>43887</v>
      </c>
      <c r="F17" s="38">
        <v>43886</v>
      </c>
      <c r="G17" s="38">
        <v>43888</v>
      </c>
      <c r="H17" s="38">
        <v>43887</v>
      </c>
      <c r="I17" s="34">
        <v>8</v>
      </c>
      <c r="J17" s="34">
        <v>8</v>
      </c>
      <c r="M17" s="35"/>
      <c r="O17" s="4">
        <v>436.91999969482418</v>
      </c>
      <c r="P17" s="4">
        <v>490.68001403808591</v>
      </c>
      <c r="Q17" s="4">
        <v>3</v>
      </c>
    </row>
    <row r="18" spans="1:17" x14ac:dyDescent="0.25">
      <c r="A18" s="9" t="s">
        <v>113</v>
      </c>
      <c r="B18" s="7" t="s">
        <v>185</v>
      </c>
      <c r="C18" s="28">
        <v>0.5</v>
      </c>
      <c r="D18" s="7" t="s">
        <v>115</v>
      </c>
      <c r="E18" s="38">
        <v>43889</v>
      </c>
      <c r="F18" s="38">
        <v>43889</v>
      </c>
      <c r="G18" s="38">
        <v>43944</v>
      </c>
      <c r="H18" s="38">
        <v>43936</v>
      </c>
      <c r="I18" s="34">
        <v>12</v>
      </c>
      <c r="J18" s="34">
        <v>6</v>
      </c>
      <c r="M18" s="35"/>
      <c r="O18" s="4">
        <v>436.91999969482418</v>
      </c>
      <c r="P18" s="4">
        <v>490.68001403808591</v>
      </c>
      <c r="Q18" s="4">
        <v>3</v>
      </c>
    </row>
    <row r="19" spans="1:17" x14ac:dyDescent="0.25">
      <c r="A19" s="9" t="s">
        <v>118</v>
      </c>
      <c r="B19" s="7" t="s">
        <v>186</v>
      </c>
      <c r="C19" s="28">
        <v>0</v>
      </c>
      <c r="D19" s="7" t="s">
        <v>120</v>
      </c>
      <c r="E19" s="38">
        <v>43945</v>
      </c>
      <c r="G19" s="38">
        <v>43948</v>
      </c>
      <c r="I19" s="34">
        <v>8</v>
      </c>
      <c r="M19" s="35"/>
      <c r="O19" s="4">
        <v>436.91999969482418</v>
      </c>
      <c r="P19" s="4">
        <v>490.68001403808591</v>
      </c>
      <c r="Q19" s="4">
        <v>0</v>
      </c>
    </row>
    <row r="20" spans="1:17" x14ac:dyDescent="0.25">
      <c r="A20" s="9" t="s">
        <v>5</v>
      </c>
      <c r="B20" s="7" t="s">
        <v>187</v>
      </c>
      <c r="C20" s="28">
        <v>0.5</v>
      </c>
      <c r="D20" s="7" t="s">
        <v>59</v>
      </c>
      <c r="E20" s="38">
        <v>43949</v>
      </c>
      <c r="G20" s="38">
        <v>43970</v>
      </c>
      <c r="M20" s="35"/>
      <c r="O20" s="4">
        <v>583.8150005340575</v>
      </c>
      <c r="P20" s="4">
        <v>384.12001037597656</v>
      </c>
      <c r="Q20" s="4">
        <v>4</v>
      </c>
    </row>
    <row r="21" spans="1:17" x14ac:dyDescent="0.25">
      <c r="A21" s="9" t="s">
        <v>14</v>
      </c>
      <c r="B21" s="7" t="s">
        <v>188</v>
      </c>
      <c r="C21" s="28">
        <v>0.5</v>
      </c>
      <c r="D21" s="7" t="s">
        <v>60</v>
      </c>
      <c r="E21" s="38">
        <v>43949</v>
      </c>
      <c r="G21" s="38">
        <v>43950</v>
      </c>
      <c r="I21" s="34">
        <v>12</v>
      </c>
      <c r="M21" s="35"/>
      <c r="O21" s="4">
        <v>583.8150005340575</v>
      </c>
      <c r="P21" s="4">
        <v>224.28000488281251</v>
      </c>
      <c r="Q21" s="4">
        <v>0</v>
      </c>
    </row>
    <row r="22" spans="1:17" x14ac:dyDescent="0.25">
      <c r="A22" s="9" t="s">
        <v>15</v>
      </c>
      <c r="B22" s="7" t="s">
        <v>189</v>
      </c>
      <c r="C22" s="28">
        <v>0</v>
      </c>
      <c r="D22" s="7" t="s">
        <v>61</v>
      </c>
      <c r="E22" s="38">
        <v>43951</v>
      </c>
      <c r="F22" s="38">
        <v>43925</v>
      </c>
      <c r="G22" s="38">
        <v>43958</v>
      </c>
      <c r="I22" s="34">
        <v>50</v>
      </c>
      <c r="J22" s="34">
        <v>6</v>
      </c>
      <c r="M22" s="35"/>
      <c r="O22" s="4">
        <v>583.8150005340575</v>
      </c>
      <c r="P22" s="4">
        <v>277.56000671386721</v>
      </c>
      <c r="Q22" s="4">
        <v>0</v>
      </c>
    </row>
    <row r="23" spans="1:17" x14ac:dyDescent="0.25">
      <c r="A23" s="9" t="s">
        <v>62</v>
      </c>
      <c r="B23" s="7" t="s">
        <v>190</v>
      </c>
      <c r="C23" s="28">
        <v>0</v>
      </c>
      <c r="D23" s="7" t="s">
        <v>65</v>
      </c>
      <c r="E23" s="38">
        <v>43959</v>
      </c>
      <c r="G23" s="38">
        <v>43965</v>
      </c>
      <c r="I23" s="34">
        <v>40</v>
      </c>
      <c r="M23" s="35"/>
      <c r="O23" s="4">
        <v>583.8150005340575</v>
      </c>
      <c r="P23" s="4">
        <v>330.84000854492189</v>
      </c>
      <c r="Q23" s="4">
        <v>0</v>
      </c>
    </row>
    <row r="24" spans="1:17" x14ac:dyDescent="0.25">
      <c r="A24" s="9" t="s">
        <v>133</v>
      </c>
      <c r="B24" s="7" t="s">
        <v>191</v>
      </c>
      <c r="C24" s="28">
        <v>0</v>
      </c>
      <c r="D24" s="7" t="s">
        <v>135</v>
      </c>
      <c r="E24" s="38">
        <v>43966</v>
      </c>
      <c r="G24" s="38">
        <v>43970</v>
      </c>
      <c r="I24" s="34">
        <v>15</v>
      </c>
      <c r="M24" s="35"/>
      <c r="O24" s="4">
        <v>583.8150005340575</v>
      </c>
      <c r="P24" s="4">
        <v>384.12001037597656</v>
      </c>
      <c r="Q24" s="4">
        <v>0</v>
      </c>
    </row>
    <row r="25" spans="1:17" x14ac:dyDescent="0.25">
      <c r="A25" s="9" t="s">
        <v>137</v>
      </c>
      <c r="B25" s="7" t="s">
        <v>192</v>
      </c>
      <c r="C25" s="28">
        <v>0</v>
      </c>
      <c r="D25" s="7" t="s">
        <v>138</v>
      </c>
      <c r="E25" s="38">
        <v>43971</v>
      </c>
      <c r="G25" s="38">
        <v>43972</v>
      </c>
      <c r="M25" s="35"/>
      <c r="O25" s="4">
        <v>730.71000137329088</v>
      </c>
      <c r="P25" s="4">
        <v>277.56000671386721</v>
      </c>
      <c r="Q25" s="4">
        <v>2</v>
      </c>
    </row>
    <row r="26" spans="1:17" x14ac:dyDescent="0.25">
      <c r="A26" s="9" t="s">
        <v>141</v>
      </c>
      <c r="B26" s="7" t="s">
        <v>16</v>
      </c>
      <c r="C26" s="28">
        <v>0</v>
      </c>
      <c r="D26" s="7" t="s">
        <v>143</v>
      </c>
      <c r="E26" s="38">
        <v>43971</v>
      </c>
      <c r="G26" s="38">
        <v>43971</v>
      </c>
      <c r="I26" s="34">
        <v>8</v>
      </c>
      <c r="M26" s="35"/>
      <c r="O26" s="4">
        <v>730.71000137329088</v>
      </c>
      <c r="P26" s="4">
        <v>224.28000488281251</v>
      </c>
      <c r="Q26" s="4">
        <v>0</v>
      </c>
    </row>
    <row r="27" spans="1:17" x14ac:dyDescent="0.25">
      <c r="A27" s="9" t="s">
        <v>144</v>
      </c>
      <c r="B27" s="7" t="s">
        <v>193</v>
      </c>
      <c r="C27" s="28">
        <v>0</v>
      </c>
      <c r="D27" s="7" t="s">
        <v>146</v>
      </c>
      <c r="E27" s="38">
        <v>43972</v>
      </c>
      <c r="G27" s="38">
        <v>43972</v>
      </c>
      <c r="I27" s="34">
        <v>4</v>
      </c>
      <c r="M27" s="35"/>
      <c r="O27" s="4">
        <v>730.71000137329088</v>
      </c>
      <c r="P27" s="4">
        <v>277.56000671386721</v>
      </c>
      <c r="Q27" s="4">
        <v>0</v>
      </c>
    </row>
    <row r="28" spans="1:17" x14ac:dyDescent="0.25">
      <c r="D28" s="7"/>
      <c r="M28" s="35"/>
      <c r="O28" s="4">
        <v>0</v>
      </c>
      <c r="P28" s="4">
        <v>63</v>
      </c>
      <c r="Q28" s="4">
        <v>20</v>
      </c>
    </row>
    <row r="29" spans="1:17" x14ac:dyDescent="0.25">
      <c r="D29" s="7"/>
      <c r="M29" s="35"/>
    </row>
    <row r="36" spans="1:2" x14ac:dyDescent="0.25">
      <c r="A36" s="55" t="s">
        <v>174</v>
      </c>
    </row>
    <row r="38" spans="1:2" x14ac:dyDescent="0.25">
      <c r="A38" s="9">
        <v>1</v>
      </c>
      <c r="B38" s="7" t="s">
        <v>147</v>
      </c>
    </row>
    <row r="39" spans="1:2" x14ac:dyDescent="0.25">
      <c r="A39" s="9" t="s">
        <v>1</v>
      </c>
      <c r="B39" s="7" t="s">
        <v>86</v>
      </c>
    </row>
    <row r="40" spans="1:2" x14ac:dyDescent="0.25">
      <c r="A40" s="9" t="s">
        <v>6</v>
      </c>
      <c r="B40" s="7" t="s">
        <v>158</v>
      </c>
    </row>
    <row r="41" spans="1:2" x14ac:dyDescent="0.25">
      <c r="A41" s="9" t="s">
        <v>7</v>
      </c>
      <c r="B41" s="7" t="s">
        <v>159</v>
      </c>
    </row>
    <row r="42" spans="1:2" x14ac:dyDescent="0.25">
      <c r="A42" s="9" t="s">
        <v>8</v>
      </c>
      <c r="B42" s="7" t="s">
        <v>160</v>
      </c>
    </row>
    <row r="43" spans="1:2" x14ac:dyDescent="0.25">
      <c r="A43" s="9" t="s">
        <v>2</v>
      </c>
      <c r="B43" s="7" t="s">
        <v>94</v>
      </c>
    </row>
    <row r="44" spans="1:2" x14ac:dyDescent="0.25">
      <c r="A44" s="9" t="s">
        <v>9</v>
      </c>
      <c r="B44" s="7" t="s">
        <v>161</v>
      </c>
    </row>
    <row r="45" spans="1:2" x14ac:dyDescent="0.25">
      <c r="A45" s="9" t="s">
        <v>10</v>
      </c>
      <c r="B45" s="7" t="s">
        <v>162</v>
      </c>
    </row>
    <row r="46" spans="1:2" x14ac:dyDescent="0.25">
      <c r="A46" s="9" t="s">
        <v>3</v>
      </c>
      <c r="B46" s="7" t="s">
        <v>99</v>
      </c>
    </row>
    <row r="47" spans="1:2" x14ac:dyDescent="0.25">
      <c r="A47" s="9" t="s">
        <v>11</v>
      </c>
      <c r="B47" s="7" t="s">
        <v>163</v>
      </c>
    </row>
    <row r="48" spans="1:2" x14ac:dyDescent="0.25">
      <c r="A48" s="9" t="s">
        <v>12</v>
      </c>
      <c r="B48" s="7" t="s">
        <v>164</v>
      </c>
    </row>
    <row r="49" spans="1:2" x14ac:dyDescent="0.25">
      <c r="A49" s="9" t="s">
        <v>13</v>
      </c>
      <c r="B49" s="7" t="s">
        <v>165</v>
      </c>
    </row>
    <row r="50" spans="1:2" x14ac:dyDescent="0.25">
      <c r="A50" s="9" t="s">
        <v>109</v>
      </c>
      <c r="B50" s="7" t="s">
        <v>166</v>
      </c>
    </row>
    <row r="51" spans="1:2" x14ac:dyDescent="0.25">
      <c r="A51" s="9" t="s">
        <v>113</v>
      </c>
      <c r="B51" s="7" t="s">
        <v>167</v>
      </c>
    </row>
    <row r="52" spans="1:2" x14ac:dyDescent="0.25">
      <c r="A52" s="9" t="s">
        <v>118</v>
      </c>
      <c r="B52" s="7" t="s">
        <v>168</v>
      </c>
    </row>
    <row r="53" spans="1:2" x14ac:dyDescent="0.25">
      <c r="A53" s="9" t="s">
        <v>5</v>
      </c>
      <c r="B53" s="7" t="s">
        <v>122</v>
      </c>
    </row>
    <row r="54" spans="1:2" x14ac:dyDescent="0.25">
      <c r="A54" s="9" t="s">
        <v>14</v>
      </c>
      <c r="B54" s="7" t="s">
        <v>169</v>
      </c>
    </row>
    <row r="55" spans="1:2" x14ac:dyDescent="0.25">
      <c r="A55" s="9" t="s">
        <v>15</v>
      </c>
      <c r="B55" s="7" t="s">
        <v>170</v>
      </c>
    </row>
    <row r="56" spans="1:2" x14ac:dyDescent="0.25">
      <c r="A56" s="9" t="s">
        <v>62</v>
      </c>
      <c r="B56" s="7" t="s">
        <v>171</v>
      </c>
    </row>
    <row r="57" spans="1:2" x14ac:dyDescent="0.25">
      <c r="A57" s="9" t="s">
        <v>133</v>
      </c>
      <c r="B57" s="7" t="s">
        <v>172</v>
      </c>
    </row>
    <row r="58" spans="1:2" x14ac:dyDescent="0.25">
      <c r="A58" s="9" t="s">
        <v>137</v>
      </c>
      <c r="B58" s="7" t="s">
        <v>4</v>
      </c>
    </row>
    <row r="59" spans="1:2" x14ac:dyDescent="0.25">
      <c r="A59" s="9" t="s">
        <v>141</v>
      </c>
      <c r="B59" s="7" t="s">
        <v>16</v>
      </c>
    </row>
    <row r="60" spans="1:2" x14ac:dyDescent="0.25">
      <c r="A60" s="9" t="s">
        <v>144</v>
      </c>
      <c r="B60" s="7" t="s">
        <v>173</v>
      </c>
    </row>
  </sheetData>
  <autoFilter ref="A4:M35" xr:uid="{00000000-0009-0000-0000-000001000000}">
    <sortState xmlns:xlrd2="http://schemas.microsoft.com/office/spreadsheetml/2017/richdata2" ref="A5:M46">
      <sortCondition ref="A4:A35"/>
    </sortState>
  </autoFilter>
  <sortState xmlns:xlrd2="http://schemas.microsoft.com/office/spreadsheetml/2017/richdata2" ref="A5:P29">
    <sortCondition ref="A5:A29"/>
  </sortState>
  <mergeCells count="1">
    <mergeCell ref="A2:M2"/>
  </mergeCells>
  <phoneticPr fontId="2" type="noConversion"/>
  <pageMargins left="0.7" right="0.7" top="0.78740157499999996" bottom="0.78740157499999996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L40"/>
  <sheetViews>
    <sheetView workbookViewId="0">
      <selection activeCell="K32" sqref="K32"/>
    </sheetView>
  </sheetViews>
  <sheetFormatPr baseColWidth="10" defaultColWidth="11.5546875" defaultRowHeight="13.2" x14ac:dyDescent="0.3"/>
  <cols>
    <col min="1" max="1" width="25.33203125" style="13" customWidth="1"/>
    <col min="2" max="2" width="23.6640625" style="10" customWidth="1"/>
    <col min="3" max="3" width="11.5546875" style="11"/>
    <col min="4" max="16384" width="11.5546875" style="10"/>
  </cols>
  <sheetData>
    <row r="1" spans="1:12" ht="21" x14ac:dyDescent="0.3">
      <c r="A1" s="16" t="s">
        <v>23</v>
      </c>
    </row>
    <row r="2" spans="1:12" x14ac:dyDescent="0.3">
      <c r="L2" s="10" t="s">
        <v>47</v>
      </c>
    </row>
    <row r="3" spans="1:12" ht="14.4" x14ac:dyDescent="0.3">
      <c r="A3" s="12" t="s">
        <v>35</v>
      </c>
      <c r="L3" s="18" t="s">
        <v>48</v>
      </c>
    </row>
    <row r="4" spans="1:12" x14ac:dyDescent="0.3">
      <c r="B4" s="14"/>
    </row>
    <row r="5" spans="1:12" x14ac:dyDescent="0.3">
      <c r="B5" s="14"/>
      <c r="L5" s="10" t="s">
        <v>49</v>
      </c>
    </row>
    <row r="6" spans="1:12" ht="14.4" x14ac:dyDescent="0.3">
      <c r="B6" s="14"/>
      <c r="L6" s="18" t="s">
        <v>50</v>
      </c>
    </row>
    <row r="7" spans="1:12" x14ac:dyDescent="0.3">
      <c r="B7" s="14"/>
    </row>
    <row r="8" spans="1:12" x14ac:dyDescent="0.3">
      <c r="C8" s="11" t="s">
        <v>29</v>
      </c>
      <c r="D8" s="15">
        <v>2</v>
      </c>
      <c r="E8" s="10" t="s">
        <v>30</v>
      </c>
    </row>
    <row r="9" spans="1:12" x14ac:dyDescent="0.3">
      <c r="C9" s="11" t="s">
        <v>31</v>
      </c>
    </row>
    <row r="13" spans="1:12" x14ac:dyDescent="0.3">
      <c r="D13" s="11" t="s">
        <v>29</v>
      </c>
      <c r="E13" s="15">
        <v>1.2</v>
      </c>
      <c r="F13" s="10" t="s">
        <v>30</v>
      </c>
    </row>
    <row r="14" spans="1:12" x14ac:dyDescent="0.3">
      <c r="D14" s="11" t="s">
        <v>31</v>
      </c>
    </row>
    <row r="17" spans="1:10" x14ac:dyDescent="0.3">
      <c r="H17" s="11" t="s">
        <v>32</v>
      </c>
      <c r="I17" s="15">
        <v>0.6</v>
      </c>
      <c r="J17" s="10" t="s">
        <v>34</v>
      </c>
    </row>
    <row r="18" spans="1:10" x14ac:dyDescent="0.3">
      <c r="A18" s="11" t="s">
        <v>32</v>
      </c>
      <c r="B18" s="15">
        <v>0.65</v>
      </c>
      <c r="C18" s="10" t="s">
        <v>34</v>
      </c>
      <c r="H18" s="11" t="s">
        <v>33</v>
      </c>
    </row>
    <row r="19" spans="1:10" x14ac:dyDescent="0.3">
      <c r="A19" s="11" t="s">
        <v>33</v>
      </c>
      <c r="C19" s="10"/>
    </row>
    <row r="22" spans="1:10" x14ac:dyDescent="0.3">
      <c r="A22" s="10" t="s">
        <v>36</v>
      </c>
      <c r="B22" s="13"/>
      <c r="F22" s="10" t="s">
        <v>40</v>
      </c>
    </row>
    <row r="23" spans="1:10" x14ac:dyDescent="0.3">
      <c r="A23" s="10" t="s">
        <v>37</v>
      </c>
      <c r="B23" s="13"/>
      <c r="F23" s="10" t="s">
        <v>39</v>
      </c>
    </row>
    <row r="24" spans="1:10" x14ac:dyDescent="0.3">
      <c r="A24" s="10"/>
      <c r="B24" s="13"/>
    </row>
    <row r="25" spans="1:10" x14ac:dyDescent="0.3">
      <c r="A25" s="10" t="s">
        <v>38</v>
      </c>
      <c r="B25" s="13"/>
    </row>
    <row r="26" spans="1:10" x14ac:dyDescent="0.3">
      <c r="A26" s="10"/>
      <c r="B26" s="13"/>
      <c r="F26" s="10" t="s">
        <v>43</v>
      </c>
    </row>
    <row r="27" spans="1:10" x14ac:dyDescent="0.3">
      <c r="A27" s="10" t="s">
        <v>46</v>
      </c>
      <c r="F27" s="10" t="s">
        <v>44</v>
      </c>
    </row>
    <row r="28" spans="1:10" x14ac:dyDescent="0.3">
      <c r="A28" s="10" t="s">
        <v>41</v>
      </c>
      <c r="F28" s="10" t="s">
        <v>42</v>
      </c>
    </row>
    <row r="29" spans="1:10" x14ac:dyDescent="0.3">
      <c r="A29" s="10" t="s">
        <v>42</v>
      </c>
    </row>
    <row r="32" spans="1:10" x14ac:dyDescent="0.3">
      <c r="A32" s="13" t="s">
        <v>66</v>
      </c>
    </row>
    <row r="33" spans="1:5" x14ac:dyDescent="0.3">
      <c r="A33" s="13" t="s">
        <v>67</v>
      </c>
      <c r="B33" s="25" t="s">
        <v>68</v>
      </c>
      <c r="C33" s="11" t="s">
        <v>69</v>
      </c>
    </row>
    <row r="35" spans="1:5" x14ac:dyDescent="0.3">
      <c r="B35" s="13" t="s">
        <v>78</v>
      </c>
      <c r="E35" s="11" t="s">
        <v>77</v>
      </c>
    </row>
    <row r="36" spans="1:5" ht="28.8" customHeight="1" x14ac:dyDescent="0.3">
      <c r="A36" s="30" t="s">
        <v>82</v>
      </c>
      <c r="B36" s="58" t="s">
        <v>80</v>
      </c>
      <c r="C36" s="59"/>
      <c r="E36" s="22"/>
    </row>
    <row r="37" spans="1:5" x14ac:dyDescent="0.3">
      <c r="A37" s="10"/>
      <c r="B37" s="13"/>
      <c r="E37" s="11"/>
    </row>
    <row r="38" spans="1:5" ht="28.8" customHeight="1" x14ac:dyDescent="0.3">
      <c r="A38" s="30" t="s">
        <v>83</v>
      </c>
      <c r="B38" s="58" t="s">
        <v>81</v>
      </c>
      <c r="C38" s="59"/>
      <c r="E38" s="24"/>
    </row>
    <row r="39" spans="1:5" x14ac:dyDescent="0.3">
      <c r="A39" s="10"/>
      <c r="B39" s="13"/>
      <c r="E39" s="11"/>
    </row>
    <row r="40" spans="1:5" ht="28.8" customHeight="1" x14ac:dyDescent="0.3">
      <c r="A40" s="30" t="s">
        <v>84</v>
      </c>
      <c r="B40" s="58" t="s">
        <v>79</v>
      </c>
      <c r="C40" s="59"/>
      <c r="E40" s="23"/>
    </row>
  </sheetData>
  <mergeCells count="3">
    <mergeCell ref="B36:C36"/>
    <mergeCell ref="B38:C38"/>
    <mergeCell ref="B40:C40"/>
  </mergeCells>
  <hyperlinks>
    <hyperlink ref="L3" r:id="rId1" xr:uid="{00000000-0004-0000-0200-000000000000}"/>
    <hyperlink ref="L6" r:id="rId2" xr:uid="{00000000-0004-0000-0200-000001000000}"/>
  </hyperlinks>
  <pageMargins left="0.7" right="0.7" top="0.78740157499999996" bottom="0.78740157499999996" header="0.3" footer="0.3"/>
  <pageSetup paperSize="9" orientation="portrait" horizontalDpi="4294967292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52F31-405C-49B5-90C2-5DB6F629BF08}">
  <sheetPr codeName="Tabelle4"/>
  <dimension ref="A1"/>
  <sheetViews>
    <sheetView showGridLines="0" zoomScaleNormal="100" workbookViewId="0">
      <selection activeCell="L6" sqref="L6"/>
    </sheetView>
  </sheetViews>
  <sheetFormatPr baseColWidth="10" defaultRowHeight="14.4" x14ac:dyDescent="0.3"/>
  <sheetData>
    <row r="1" spans="1:1" ht="21" x14ac:dyDescent="0.3">
      <c r="A1" s="29" t="s">
        <v>76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reateWorkBreakdownStructure">
                <anchor moveWithCells="1" sizeWithCells="1">
                  <from>
                    <xdr:col>0</xdr:col>
                    <xdr:colOff>182880</xdr:colOff>
                    <xdr:row>1</xdr:row>
                    <xdr:rowOff>114300</xdr:rowOff>
                  </from>
                  <to>
                    <xdr:col>1</xdr:col>
                    <xdr:colOff>266700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11</vt:i4>
      </vt:variant>
    </vt:vector>
  </HeadingPairs>
  <TitlesOfParts>
    <vt:vector size="15" baseType="lpstr">
      <vt:lpstr>Import</vt:lpstr>
      <vt:lpstr>Start</vt:lpstr>
      <vt:lpstr>Setup</vt:lpstr>
      <vt:lpstr>PSP</vt:lpstr>
      <vt:lpstr>FORMAT_COMPLETED</vt:lpstr>
      <vt:lpstr>FORMAT_IN_PROGRESS</vt:lpstr>
      <vt:lpstr>FORMAT_NOT_STARTED</vt:lpstr>
      <vt:lpstr>LEVEL0_SPACE_Y</vt:lpstr>
      <vt:lpstr>LEVEL1_SPACE_X</vt:lpstr>
      <vt:lpstr>LEVEL3_SPACE_X</vt:lpstr>
      <vt:lpstr>LEVEL3_SPACE_Y</vt:lpstr>
      <vt:lpstr>PROGRESS_COLORS</vt:lpstr>
      <vt:lpstr>PROGRESS_COMPLETED</vt:lpstr>
      <vt:lpstr>PROGRESS_IN_PROGRESS</vt:lpstr>
      <vt:lpstr>PROGRESS_NOT_STARTED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Angielsky</dc:creator>
  <cp:lastModifiedBy>Thomas Angielsky</cp:lastModifiedBy>
  <cp:lastPrinted>2020-01-13T14:47:39Z</cp:lastPrinted>
  <dcterms:created xsi:type="dcterms:W3CDTF">2019-12-08T11:23:10Z</dcterms:created>
  <dcterms:modified xsi:type="dcterms:W3CDTF">2020-04-06T18:02:39Z</dcterms:modified>
</cp:coreProperties>
</file>
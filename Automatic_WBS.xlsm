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53ae0772ddaa49f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angi\Desktop\Neue Artikel\PSP v07\Code\"/>
    </mc:Choice>
  </mc:AlternateContent>
  <xr:revisionPtr revIDLastSave="0" documentId="13_ncr:1_{BA3BD930-95E2-45D5-B9C8-5F571654C993}" xr6:coauthVersionLast="47" xr6:coauthVersionMax="47" xr10:uidLastSave="{00000000-0000-0000-0000-000000000000}"/>
  <bookViews>
    <workbookView xWindow="0" yWindow="0" windowWidth="17340" windowHeight="11952" activeTab="3" xr2:uid="{00000000-000D-0000-FFFF-FFFF00000000}"/>
  </bookViews>
  <sheets>
    <sheet name="Import" sheetId="7" r:id="rId1"/>
    <sheet name="Start" sheetId="1" r:id="rId2"/>
    <sheet name="Setup" sheetId="4" r:id="rId3"/>
    <sheet name="PSP" sheetId="9" r:id="rId4"/>
  </sheets>
  <functionGroups builtInGroupCount="19"/>
  <definedNames>
    <definedName name="_xlnm._FilterDatabase" localSheetId="1" hidden="1">Start!$A$4:$M$35</definedName>
    <definedName name="ALWAYS_SHOW_DOCUMENTS_DIALOG">Setup!$B$46</definedName>
    <definedName name="FORMAT_COMPLETED">Setup!$B$39</definedName>
    <definedName name="FORMAT_IN_PROGRESS">Setup!$B$37</definedName>
    <definedName name="FORMAT_NOT_STARTED">Setup!$B$35</definedName>
    <definedName name="LEVEL0_SPACE_Y">Setup!$D$8</definedName>
    <definedName name="LEVEL1_SPACE_X">Setup!$I$17</definedName>
    <definedName name="LEVEL3_SPACE_X">Setup!$B$18</definedName>
    <definedName name="LEVEL3_SPACE_Y">Setup!$E$13</definedName>
    <definedName name="PATH_DOCUMENTS">Setup!$B$43</definedName>
    <definedName name="PROGRESS_COLORS">Setup!$B$32</definedName>
    <definedName name="PROGRESS_COMPLETED">Setup!$E$39</definedName>
    <definedName name="PROGRESS_IN_PROGRESS">Setup!$E$37</definedName>
    <definedName name="PROGRESS_NOT_STARTED">Setup!$E$35</definedName>
    <definedName name="WORK_PACKAGE">Setup!#REF!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0" i="1" l="1"/>
  <c r="N19" i="1"/>
  <c r="N18" i="1"/>
  <c r="N16" i="1"/>
  <c r="N15" i="1"/>
  <c r="N26" i="1"/>
  <c r="N21" i="1"/>
  <c r="N14" i="1"/>
  <c r="N11" i="1"/>
  <c r="N10" i="1"/>
  <c r="N6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</calcChain>
</file>

<file path=xl/sharedStrings.xml><?xml version="1.0" encoding="utf-8"?>
<sst xmlns="http://schemas.openxmlformats.org/spreadsheetml/2006/main" count="316" uniqueCount="207">
  <si>
    <t>Name</t>
  </si>
  <si>
    <t>1.2</t>
  </si>
  <si>
    <t>1.3</t>
  </si>
  <si>
    <t>1.4</t>
  </si>
  <si>
    <t>Abschluss</t>
  </si>
  <si>
    <t>1.5</t>
  </si>
  <si>
    <t>1.3.1</t>
  </si>
  <si>
    <t>1.3.2</t>
  </si>
  <si>
    <t>1.4.1</t>
  </si>
  <si>
    <t>1.4.2</t>
  </si>
  <si>
    <t>1.4.3</t>
  </si>
  <si>
    <t>1.5.1</t>
  </si>
  <si>
    <t>1.5.2</t>
  </si>
  <si>
    <t>Lessons learned</t>
  </si>
  <si>
    <t>X</t>
  </si>
  <si>
    <t>Y</t>
  </si>
  <si>
    <t>Code</t>
  </si>
  <si>
    <t>Count</t>
  </si>
  <si>
    <t>Progress</t>
  </si>
  <si>
    <t>Projektstrukturplan / Work-Breakdown-Structure</t>
  </si>
  <si>
    <t>Einstellungen / Setup</t>
  </si>
  <si>
    <t>F1</t>
  </si>
  <si>
    <t>F2</t>
  </si>
  <si>
    <t>F3</t>
  </si>
  <si>
    <t>F4</t>
  </si>
  <si>
    <t>F5</t>
  </si>
  <si>
    <t>Abstand Y</t>
  </si>
  <si>
    <t xml:space="preserve"> * Höhe (Height)</t>
  </si>
  <si>
    <t>(Space Y)</t>
  </si>
  <si>
    <t>Abstand X</t>
  </si>
  <si>
    <t>(Space X)</t>
  </si>
  <si>
    <t xml:space="preserve"> * Breite (Width)</t>
  </si>
  <si>
    <t>Aussehen (appearance)</t>
  </si>
  <si>
    <t>Formatieren Sie die Kästchen so wie sie im PSP aussehen sollen. Die Formatierung</t>
  </si>
  <si>
    <t>wird von hier übernommen.</t>
  </si>
  <si>
    <t>Es wird zwischen den 3 Ebenen unterschieden.</t>
  </si>
  <si>
    <t>A distinction is made between the 3 levels.</t>
  </si>
  <si>
    <t xml:space="preserve">Format the boxes as they should look in the WBS. The formatting is taken over from here.
</t>
  </si>
  <si>
    <t>Gültige Variablennamen sind die Feldnamen aus der Tabelle START.</t>
  </si>
  <si>
    <t>$CODE $NAME $PROGRESS $F1 $F2 $F3 $F4 $F5</t>
  </si>
  <si>
    <t>Here you can define the labeling of each box.</t>
  </si>
  <si>
    <t>Valid variable names are the field names from the START sheet.</t>
  </si>
  <si>
    <t>Tragen Sie hier die Struktur Ihres PSP ein. Die Tabelle muss nach Code sortiert sein.
Enter the structure of your WBS here. The table must be sorted by code.</t>
  </si>
  <si>
    <t>Hier können Sie auch die Beschriftung jedes Kästchens festlegen.</t>
  </si>
  <si>
    <t>Mehr Informationen unter:</t>
  </si>
  <si>
    <t>More information:</t>
  </si>
  <si>
    <t>2</t>
  </si>
  <si>
    <t>3</t>
  </si>
  <si>
    <t>3.1</t>
  </si>
  <si>
    <t>3.2</t>
  </si>
  <si>
    <t>4</t>
  </si>
  <si>
    <t>4.1</t>
  </si>
  <si>
    <t>4.2</t>
  </si>
  <si>
    <t>4.3</t>
  </si>
  <si>
    <t>5</t>
  </si>
  <si>
    <t>5.1</t>
  </si>
  <si>
    <t>5.2</t>
  </si>
  <si>
    <t>1.5.3</t>
  </si>
  <si>
    <t>Verantwortlich</t>
  </si>
  <si>
    <t>Start</t>
  </si>
  <si>
    <t>5.3</t>
  </si>
  <si>
    <t>Fortschritt für Farbgebung verwenden</t>
  </si>
  <si>
    <t>Use progress for colors</t>
  </si>
  <si>
    <t xml:space="preserve">J = Ja / yes </t>
  </si>
  <si>
    <t>PSP</t>
  </si>
  <si>
    <t>F6</t>
  </si>
  <si>
    <t>F7</t>
  </si>
  <si>
    <t>F8</t>
  </si>
  <si>
    <t>F9</t>
  </si>
  <si>
    <t>F10</t>
  </si>
  <si>
    <t>Projektstrukturplan / Work breakdown structure</t>
  </si>
  <si>
    <t>Farbe / Color</t>
  </si>
  <si>
    <t>Text PROGRESS</t>
  </si>
  <si>
    <t>$PROGRESS ($F6 h / $F7 h)
Ende gepl. $F4 real. $F5</t>
  </si>
  <si>
    <t>$PROGRESS ($F6 h)
Start gepl. $F2</t>
  </si>
  <si>
    <t>$PROGRESS ($F6 h / $F7 h)
Start real. $F3 Ende gepl. $F4</t>
  </si>
  <si>
    <t>nicht begonnen / not started 
(PROGRESS = 0)</t>
  </si>
  <si>
    <t>in Bearbeitung / in progress 
(0 &gt; PROGRESS &gt; 100%)</t>
  </si>
  <si>
    <t>abgeschlossen / completed 
(PROGRESS = 100%)</t>
  </si>
  <si>
    <t>Projekt: Neuer Montage-Arbeitsplatz</t>
  </si>
  <si>
    <t>Projekt-Management</t>
  </si>
  <si>
    <t>Mon 20.01.20</t>
  </si>
  <si>
    <t xml:space="preserve">   Datenablage</t>
  </si>
  <si>
    <t>2.1</t>
  </si>
  <si>
    <t xml:space="preserve">   Controlling</t>
  </si>
  <si>
    <t>2.2</t>
  </si>
  <si>
    <t xml:space="preserve">   Marketing</t>
  </si>
  <si>
    <t>2.3</t>
  </si>
  <si>
    <t>Initialisierung</t>
  </si>
  <si>
    <t>Mon 03.02.20</t>
  </si>
  <si>
    <t>Tue 04.02.20</t>
  </si>
  <si>
    <t xml:space="preserve">   Definition</t>
  </si>
  <si>
    <t xml:space="preserve">   Ziele</t>
  </si>
  <si>
    <t>Planung</t>
  </si>
  <si>
    <t>Wed 05.02.20</t>
  </si>
  <si>
    <t>Mon 27.04.20</t>
  </si>
  <si>
    <t xml:space="preserve">   Arbeitsablauf</t>
  </si>
  <si>
    <t>Tue 11.02.20</t>
  </si>
  <si>
    <t xml:space="preserve">   Arbeitsplatzgestaltung</t>
  </si>
  <si>
    <t>Wed 12.02.20</t>
  </si>
  <si>
    <t>Tue 25.02.20</t>
  </si>
  <si>
    <t xml:space="preserve">   Lieferantensuche</t>
  </si>
  <si>
    <t>Wed 26.02.20</t>
  </si>
  <si>
    <t>1.4.3.1</t>
  </si>
  <si>
    <t xml:space="preserve">      Lastenheft</t>
  </si>
  <si>
    <t>4.3.1</t>
  </si>
  <si>
    <t>Thu 27.02.20</t>
  </si>
  <si>
    <t>1.4.3.2</t>
  </si>
  <si>
    <t xml:space="preserve">      Anfragen</t>
  </si>
  <si>
    <t>4.3.2</t>
  </si>
  <si>
    <t>Fri 28.02.20</t>
  </si>
  <si>
    <t>Thu 23.04.20</t>
  </si>
  <si>
    <t>1.4.3.3</t>
  </si>
  <si>
    <t xml:space="preserve">      Vergleich</t>
  </si>
  <si>
    <t>4.3.3</t>
  </si>
  <si>
    <t>Fri 24.04.20</t>
  </si>
  <si>
    <t>Realisierung</t>
  </si>
  <si>
    <t>Tue 28.04.20</t>
  </si>
  <si>
    <t>Tue 19.05.20</t>
  </si>
  <si>
    <t xml:space="preserve">   Bestellung Komponenten</t>
  </si>
  <si>
    <t>Wed 29.04.20</t>
  </si>
  <si>
    <t xml:space="preserve">   Aufbau</t>
  </si>
  <si>
    <t>Thu 30.04.20</t>
  </si>
  <si>
    <t>Thu 07.05.20</t>
  </si>
  <si>
    <t xml:space="preserve">   Testbetrieb</t>
  </si>
  <si>
    <t>Fri 08.05.20</t>
  </si>
  <si>
    <t>Thu 14.05.20</t>
  </si>
  <si>
    <t>1.5.4</t>
  </si>
  <si>
    <t xml:space="preserve">   Optimierung</t>
  </si>
  <si>
    <t>5.4</t>
  </si>
  <si>
    <t>Fri 15.05.20</t>
  </si>
  <si>
    <t>1.6</t>
  </si>
  <si>
    <t>6</t>
  </si>
  <si>
    <t>Wed 20.05.20</t>
  </si>
  <si>
    <t>Thu 21.05.20</t>
  </si>
  <si>
    <t>1.6.1</t>
  </si>
  <si>
    <t xml:space="preserve">   Lessons learned</t>
  </si>
  <si>
    <t>6.1</t>
  </si>
  <si>
    <t>1.6.2</t>
  </si>
  <si>
    <t xml:space="preserve">   Abschlussbericht</t>
  </si>
  <si>
    <t>6.2</t>
  </si>
  <si>
    <t>Neuer Montage-Arbeitsplatz</t>
  </si>
  <si>
    <t>Task Name</t>
  </si>
  <si>
    <t>progress</t>
  </si>
  <si>
    <t>WBS</t>
  </si>
  <si>
    <t>Finish</t>
  </si>
  <si>
    <t>Ende
geplant</t>
  </si>
  <si>
    <t>Ende 
realisiert</t>
  </si>
  <si>
    <t>Aufwand
geplant</t>
  </si>
  <si>
    <t>Aufwand
realisiert</t>
  </si>
  <si>
    <t>Start 
geplant</t>
  </si>
  <si>
    <t>Start 
realisiert</t>
  </si>
  <si>
    <t>Datenablage</t>
  </si>
  <si>
    <t>Controlling</t>
  </si>
  <si>
    <t>Marketing</t>
  </si>
  <si>
    <t>Definition</t>
  </si>
  <si>
    <t>Ziele</t>
  </si>
  <si>
    <t>Arbeitsablauf</t>
  </si>
  <si>
    <t>Arbeitsplatzgestaltung</t>
  </si>
  <si>
    <t>Lieferantensuche</t>
  </si>
  <si>
    <t>Lastenheft</t>
  </si>
  <si>
    <t>Anfragen</t>
  </si>
  <si>
    <t>Vergleich</t>
  </si>
  <si>
    <t>Bestellung Komponenten</t>
  </si>
  <si>
    <t>Aufbau</t>
  </si>
  <si>
    <t>Testbetrieb</t>
  </si>
  <si>
    <t>Optimierung</t>
  </si>
  <si>
    <t>Abschlussbericht</t>
  </si>
  <si>
    <t>Beispiel in Deutsch</t>
  </si>
  <si>
    <t>New assembly workplace</t>
  </si>
  <si>
    <t>Project management</t>
  </si>
  <si>
    <t>Data storage</t>
  </si>
  <si>
    <t>Initialization</t>
  </si>
  <si>
    <t>Aims</t>
  </si>
  <si>
    <t>Planning</t>
  </si>
  <si>
    <t>Work prozess</t>
  </si>
  <si>
    <t>Workplace design</t>
  </si>
  <si>
    <t>Search of suppliers</t>
  </si>
  <si>
    <t>Requirements specification</t>
  </si>
  <si>
    <t>Requests</t>
  </si>
  <si>
    <t>Comparison</t>
  </si>
  <si>
    <t>Realization</t>
  </si>
  <si>
    <t>Order of components</t>
  </si>
  <si>
    <t>Installation</t>
  </si>
  <si>
    <t>Test phase</t>
  </si>
  <si>
    <t>Optimization</t>
  </si>
  <si>
    <t>Closing</t>
  </si>
  <si>
    <t>Final report</t>
  </si>
  <si>
    <t>1.1</t>
  </si>
  <si>
    <t>1.1.1</t>
  </si>
  <si>
    <t>1.1.3</t>
  </si>
  <si>
    <t>1.1.2</t>
  </si>
  <si>
    <t>Stakeholders</t>
  </si>
  <si>
    <t>https://techpluscode.de/tag/PSP/</t>
  </si>
  <si>
    <t>https://techpluscode.de/tag/WBS/</t>
  </si>
  <si>
    <t>Example in English</t>
  </si>
  <si>
    <t>Basis Pfad für Dokumente</t>
  </si>
  <si>
    <t>Base path of documents</t>
  </si>
  <si>
    <t>.\1 Projekt-Management\Projekt-Cockpit.xlsx</t>
  </si>
  <si>
    <t>Immer den Dialog zur</t>
  </si>
  <si>
    <t>Dokumentauswahl zeigen</t>
  </si>
  <si>
    <t>Always show dialog of</t>
  </si>
  <si>
    <t>documents</t>
  </si>
  <si>
    <t>|https://techpluscode.de</t>
  </si>
  <si>
    <t>X:\Projekte\Projekt 123\</t>
  </si>
  <si>
    <t>Dokuments / Documents [Titel|Link/Pfad]</t>
  </si>
  <si>
    <t>Projekt-Cockpit|.\1 Projekt-Management\Projekt-Cockpit.xlsx|Ziele|.\1 Projekt-Management\Ziele.docx|Rahmenbedingungen|.\1 Projekt-Management\Rahmenbedingungen.docx|Projekt-Kosten|.\1 Projekt-Management\Projekt-Kosten.xlsx|Sharepoint|https://techpluscode.de/?p=4301&amp;preview=true&amp;_thumbnail_id=4304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</si>
</sst>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DM&quot;_-;\-* #,##0.00\ &quot;DM&quot;_-;_-* &quot;-&quot;??\ &quot;DM&quot;_-;_-@_-"/>
    <numFmt numFmtId="165" formatCode="d/m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36363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FE3E8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8" fillId="0" borderId="0"/>
  </cellStyleXfs>
  <cellXfs count="64">
    <xf numFmtId="0" fontId="0" fillId="0" borderId="0" xfId="0"/>
    <xf numFmtId="49" fontId="3" fillId="2" borderId="0" xfId="0" applyNumberFormat="1" applyFont="1" applyFill="1"/>
    <xf numFmtId="0" fontId="3" fillId="2" borderId="0" xfId="0" applyFont="1" applyFill="1"/>
    <xf numFmtId="9" fontId="3" fillId="2" borderId="0" xfId="1" applyFont="1" applyFill="1"/>
    <xf numFmtId="0" fontId="4" fillId="3" borderId="0" xfId="0" applyFont="1" applyFill="1"/>
    <xf numFmtId="9" fontId="4" fillId="3" borderId="0" xfId="1" applyFont="1" applyFill="1"/>
    <xf numFmtId="9" fontId="3" fillId="3" borderId="0" xfId="1" applyFont="1" applyFill="1"/>
    <xf numFmtId="0" fontId="4" fillId="0" borderId="0" xfId="0" applyFont="1" applyFill="1"/>
    <xf numFmtId="49" fontId="4" fillId="0" borderId="0" xfId="0" applyNumberFormat="1" applyFont="1" applyFill="1"/>
    <xf numFmtId="0" fontId="4" fillId="3" borderId="0" xfId="0" applyFont="1" applyFill="1" applyAlignment="1">
      <alignment vertical="top"/>
    </xf>
    <xf numFmtId="9" fontId="4" fillId="3" borderId="0" xfId="1" applyFont="1" applyFill="1" applyAlignment="1">
      <alignment vertical="top"/>
    </xf>
    <xf numFmtId="49" fontId="3" fillId="3" borderId="0" xfId="0" applyNumberFormat="1" applyFont="1" applyFill="1" applyAlignment="1">
      <alignment vertical="top"/>
    </xf>
    <xf numFmtId="49" fontId="4" fillId="3" borderId="0" xfId="0" applyNumberFormat="1" applyFont="1" applyFill="1" applyAlignment="1">
      <alignment vertical="top"/>
    </xf>
    <xf numFmtId="0" fontId="4" fillId="3" borderId="0" xfId="0" applyFont="1" applyFill="1" applyAlignment="1">
      <alignment horizontal="left" vertical="top"/>
    </xf>
    <xf numFmtId="0" fontId="4" fillId="0" borderId="0" xfId="0" applyFont="1" applyFill="1" applyAlignment="1">
      <alignment vertical="top" wrapText="1"/>
    </xf>
    <xf numFmtId="49" fontId="5" fillId="3" borderId="0" xfId="0" applyNumberFormat="1" applyFont="1" applyFill="1" applyAlignment="1">
      <alignment vertical="top"/>
    </xf>
    <xf numFmtId="49" fontId="5" fillId="3" borderId="0" xfId="0" applyNumberFormat="1" applyFont="1" applyFill="1"/>
    <xf numFmtId="0" fontId="6" fillId="3" borderId="0" xfId="2" applyFill="1" applyAlignment="1">
      <alignment vertical="top"/>
    </xf>
    <xf numFmtId="49" fontId="4" fillId="3" borderId="0" xfId="0" applyNumberFormat="1" applyFont="1" applyFill="1" applyAlignment="1">
      <alignment horizontal="left" vertical="center" wrapText="1"/>
    </xf>
    <xf numFmtId="49" fontId="4" fillId="3" borderId="0" xfId="0" applyNumberFormat="1" applyFont="1" applyFill="1" applyAlignment="1">
      <alignment horizontal="left" vertical="center"/>
    </xf>
    <xf numFmtId="9" fontId="4" fillId="4" borderId="1" xfId="1" applyFont="1" applyFill="1" applyBorder="1" applyAlignment="1">
      <alignment vertical="top"/>
    </xf>
    <xf numFmtId="9" fontId="4" fillId="5" borderId="1" xfId="1" applyFont="1" applyFill="1" applyBorder="1" applyAlignment="1">
      <alignment vertical="top"/>
    </xf>
    <xf numFmtId="9" fontId="4" fillId="6" borderId="1" xfId="1" applyFont="1" applyFill="1" applyBorder="1" applyAlignment="1">
      <alignment vertical="top"/>
    </xf>
    <xf numFmtId="0" fontId="4" fillId="7" borderId="1" xfId="0" applyFont="1" applyFill="1" applyBorder="1" applyAlignment="1">
      <alignment vertical="top"/>
    </xf>
    <xf numFmtId="10" fontId="4" fillId="3" borderId="0" xfId="1" applyNumberFormat="1" applyFont="1" applyFill="1"/>
    <xf numFmtId="10" fontId="3" fillId="2" borderId="0" xfId="1" applyNumberFormat="1" applyFont="1" applyFill="1"/>
    <xf numFmtId="10" fontId="4" fillId="0" borderId="0" xfId="1" applyNumberFormat="1" applyFont="1" applyFill="1"/>
    <xf numFmtId="49" fontId="5" fillId="0" borderId="0" xfId="0" applyNumberFormat="1" applyFont="1" applyFill="1" applyAlignment="1">
      <alignment vertical="top"/>
    </xf>
    <xf numFmtId="0" fontId="4" fillId="3" borderId="0" xfId="0" applyFont="1" applyFill="1" applyAlignment="1">
      <alignment vertical="top" wrapText="1"/>
    </xf>
    <xf numFmtId="0" fontId="4" fillId="3" borderId="0" xfId="1" applyNumberFormat="1" applyFont="1" applyFill="1"/>
    <xf numFmtId="0" fontId="4" fillId="3" borderId="0" xfId="0" applyNumberFormat="1" applyFont="1" applyFill="1" applyAlignment="1">
      <alignment horizontal="left" vertical="center"/>
    </xf>
    <xf numFmtId="0" fontId="3" fillId="2" borderId="0" xfId="0" applyNumberFormat="1" applyFont="1" applyFill="1"/>
    <xf numFmtId="0" fontId="4" fillId="0" borderId="0" xfId="1" applyNumberFormat="1" applyFont="1" applyFill="1"/>
    <xf numFmtId="0" fontId="4" fillId="0" borderId="0" xfId="0" applyNumberFormat="1" applyFont="1" applyFill="1"/>
    <xf numFmtId="165" fontId="4" fillId="3" borderId="0" xfId="1" applyNumberFormat="1" applyFont="1" applyFill="1"/>
    <xf numFmtId="165" fontId="3" fillId="2" borderId="0" xfId="0" applyNumberFormat="1" applyFont="1" applyFill="1"/>
    <xf numFmtId="165" fontId="4" fillId="0" borderId="0" xfId="1" applyNumberFormat="1" applyFont="1" applyFill="1"/>
    <xf numFmtId="0" fontId="9" fillId="9" borderId="4" xfId="0" applyFont="1" applyFill="1" applyBorder="1" applyAlignment="1">
      <alignment vertical="center" wrapText="1"/>
    </xf>
    <xf numFmtId="49" fontId="9" fillId="9" borderId="4" xfId="0" applyNumberFormat="1" applyFont="1" applyFill="1" applyBorder="1" applyAlignment="1">
      <alignment vertical="center" wrapText="1"/>
    </xf>
    <xf numFmtId="0" fontId="10" fillId="9" borderId="4" xfId="0" applyFont="1" applyFill="1" applyBorder="1" applyAlignment="1">
      <alignment vertical="center" wrapText="1"/>
    </xf>
    <xf numFmtId="49" fontId="10" fillId="9" borderId="4" xfId="0" applyNumberFormat="1" applyFont="1" applyFill="1" applyBorder="1" applyAlignment="1">
      <alignment vertical="center" wrapText="1"/>
    </xf>
    <xf numFmtId="0" fontId="9" fillId="9" borderId="0" xfId="0" applyFont="1" applyFill="1" applyAlignment="1">
      <alignment vertical="center" wrapText="1"/>
    </xf>
    <xf numFmtId="49" fontId="9" fillId="9" borderId="0" xfId="0" applyNumberFormat="1" applyFont="1" applyFill="1" applyAlignment="1">
      <alignment vertical="center" wrapText="1"/>
    </xf>
    <xf numFmtId="165" fontId="4" fillId="3" borderId="0" xfId="0" applyNumberFormat="1" applyFont="1" applyFill="1" applyAlignment="1">
      <alignment horizontal="left" vertical="center" wrapText="1"/>
    </xf>
    <xf numFmtId="0" fontId="4" fillId="3" borderId="0" xfId="0" applyNumberFormat="1" applyFont="1" applyFill="1" applyAlignment="1">
      <alignment horizontal="left" vertical="center" wrapText="1"/>
    </xf>
    <xf numFmtId="0" fontId="0" fillId="0" borderId="0" xfId="0" applyFont="1"/>
    <xf numFmtId="0" fontId="11" fillId="8" borderId="4" xfId="0" applyFont="1" applyFill="1" applyBorder="1" applyAlignment="1">
      <alignment vertical="center" wrapText="1"/>
    </xf>
    <xf numFmtId="49" fontId="11" fillId="8" borderId="4" xfId="0" applyNumberFormat="1" applyFont="1" applyFill="1" applyBorder="1" applyAlignment="1">
      <alignment vertical="center" wrapText="1"/>
    </xf>
    <xf numFmtId="0" fontId="0" fillId="9" borderId="4" xfId="0" applyFont="1" applyFill="1" applyBorder="1" applyAlignment="1">
      <alignment vertical="center" wrapText="1"/>
    </xf>
    <xf numFmtId="49" fontId="0" fillId="9" borderId="4" xfId="0" applyNumberFormat="1" applyFont="1" applyFill="1" applyBorder="1" applyAlignment="1">
      <alignment vertical="center" wrapText="1"/>
    </xf>
    <xf numFmtId="0" fontId="0" fillId="0" borderId="4" xfId="0" applyFont="1" applyBorder="1"/>
    <xf numFmtId="49" fontId="0" fillId="0" borderId="4" xfId="0" applyNumberFormat="1" applyFont="1" applyBorder="1"/>
    <xf numFmtId="49" fontId="0" fillId="0" borderId="0" xfId="0" applyNumberFormat="1" applyFont="1"/>
    <xf numFmtId="49" fontId="3" fillId="0" borderId="0" xfId="0" applyNumberFormat="1" applyFont="1" applyFill="1"/>
    <xf numFmtId="49" fontId="4" fillId="3" borderId="0" xfId="0" applyNumberFormat="1" applyFont="1" applyFill="1" applyAlignment="1">
      <alignment horizontal="left" vertical="center"/>
    </xf>
    <xf numFmtId="49" fontId="4" fillId="3" borderId="0" xfId="1" applyNumberFormat="1" applyFont="1" applyFill="1"/>
    <xf numFmtId="49" fontId="4" fillId="0" borderId="0" xfId="1" applyNumberFormat="1" applyFont="1" applyFill="1"/>
    <xf numFmtId="49" fontId="4" fillId="3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/>
    <xf numFmtId="49" fontId="4" fillId="3" borderId="0" xfId="0" applyNumberFormat="1" applyFont="1" applyFill="1" applyAlignment="1">
      <alignment horizontal="left" vertical="center" wrapText="1"/>
    </xf>
    <xf numFmtId="49" fontId="4" fillId="3" borderId="0" xfId="0" applyNumberFormat="1" applyFont="1" applyFill="1" applyAlignment="1">
      <alignment horizontal="left" vertical="center"/>
    </xf>
    <xf numFmtId="49" fontId="4" fillId="0" borderId="2" xfId="0" applyNumberFormat="1" applyFont="1" applyFill="1" applyBorder="1" applyAlignment="1">
      <alignment horizontal="center" vertical="top" wrapText="1"/>
    </xf>
    <xf numFmtId="49" fontId="4" fillId="0" borderId="3" xfId="0" applyNumberFormat="1" applyFont="1" applyFill="1" applyBorder="1" applyAlignment="1">
      <alignment horizontal="center" vertical="top" wrapText="1"/>
    </xf>
    <xf numFmtId="0" fontId="4" fillId="7" borderId="1" xfId="0" applyFont="1" applyFill="1" applyBorder="1" applyAlignment="1">
      <alignment horizontal="left" vertical="top"/>
    </xf>
  </cellXfs>
  <cellStyles count="6">
    <cellStyle name="Link" xfId="2" builtinId="8"/>
    <cellStyle name="Prozent" xfId="1" builtinId="5"/>
    <cellStyle name="Standard" xfId="0" builtinId="0"/>
    <cellStyle name="Standard 2" xfId="3" xr:uid="{00000000-0005-0000-0000-000003000000}"/>
    <cellStyle name="Standard 3" xfId="5" xr:uid="{00000000-0005-0000-0000-000004000000}"/>
    <cellStyle name="Währung 2" xfId="4" xr:uid="{00000000-0005-0000-0000-000006000000}"/>
  </cellStyles>
  <dxfs count="0"/>
  <tableStyles count="0" defaultTableStyle="TableStyleMedium2" defaultPivotStyle="PivotStyleLight16"/>
  <colors>
    <mruColors>
      <color rgb="FF56A3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312421</xdr:colOff>
      <xdr:row>1</xdr:row>
      <xdr:rowOff>76199</xdr:rowOff>
    </xdr:from>
    <xdr:to>
      <xdr:col>5</xdr:col>
      <xdr:colOff>9526</xdr:colOff>
      <xdr:row>6</xdr:row>
      <xdr:rowOff>7619</xdr:rowOff>
    </xdr:to>
    <xdr:sp macro="" textlink="">
      <xdr:nvSpPr>
        <xdr:cNvPr id="2" name="LEVEL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3246" y="333374"/>
          <a:ext cx="2011680" cy="798195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Projekt:</a:t>
          </a:r>
        </a:p>
        <a:p>
          <a:pPr algn="ctr"/>
          <a:r>
            <a:rPr lang="de-DE" sz="1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$</a:t>
          </a:r>
          <a:r>
            <a:rPr lang="de-DE" sz="20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NAME </a:t>
          </a:r>
          <a:endParaRPr lang="de-DE" sz="12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47624</xdr:colOff>
      <xdr:row>7</xdr:row>
      <xdr:rowOff>152400</xdr:rowOff>
    </xdr:from>
    <xdr:to>
      <xdr:col>2</xdr:col>
      <xdr:colOff>19049</xdr:colOff>
      <xdr:row>11</xdr:row>
      <xdr:rowOff>121920</xdr:rowOff>
    </xdr:to>
    <xdr:sp macro="" textlink="">
      <xdr:nvSpPr>
        <xdr:cNvPr id="3" name="LEVEL_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33549" y="1438275"/>
          <a:ext cx="1552575" cy="617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$F1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$NAME</a:t>
          </a:r>
        </a:p>
      </xdr:txBody>
    </xdr:sp>
    <xdr:clientData/>
  </xdr:twoCellAnchor>
  <xdr:twoCellAnchor>
    <xdr:from>
      <xdr:col>1</xdr:col>
      <xdr:colOff>701040</xdr:colOff>
      <xdr:row>12</xdr:row>
      <xdr:rowOff>129540</xdr:rowOff>
    </xdr:from>
    <xdr:to>
      <xdr:col>2</xdr:col>
      <xdr:colOff>476250</xdr:colOff>
      <xdr:row>16</xdr:row>
      <xdr:rowOff>22860</xdr:rowOff>
    </xdr:to>
    <xdr:sp macro="" textlink="">
      <xdr:nvSpPr>
        <xdr:cNvPr id="4" name="LEVEL_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38400" y="2270760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$F1</a:t>
          </a:r>
          <a:r>
            <a:rPr lang="de-DE" sz="800" b="0" baseline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$</a:t>
          </a:r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NAME</a:t>
          </a:r>
        </a:p>
        <a:p>
          <a:pPr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$PROGRESS</a:t>
          </a:r>
        </a:p>
      </xdr:txBody>
    </xdr:sp>
    <xdr:clientData/>
  </xdr:twoCellAnchor>
  <xdr:twoCellAnchor>
    <xdr:from>
      <xdr:col>1</xdr:col>
      <xdr:colOff>823912</xdr:colOff>
      <xdr:row>6</xdr:row>
      <xdr:rowOff>7620</xdr:rowOff>
    </xdr:from>
    <xdr:to>
      <xdr:col>3</xdr:col>
      <xdr:colOff>546736</xdr:colOff>
      <xdr:row>7</xdr:row>
      <xdr:rowOff>152401</xdr:rowOff>
    </xdr:to>
    <xdr:cxnSp macro="">
      <xdr:nvCxnSpPr>
        <xdr:cNvPr id="6" name="CONNECTOR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>
          <a:stCxn id="2" idx="2"/>
          <a:endCxn id="3" idx="0"/>
        </xdr:cNvCxnSpPr>
      </xdr:nvCxnSpPr>
      <xdr:spPr>
        <a:xfrm rot="5400000">
          <a:off x="3394234" y="247173"/>
          <a:ext cx="306706" cy="2075499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11</xdr:row>
      <xdr:rowOff>30480</xdr:rowOff>
    </xdr:from>
    <xdr:to>
      <xdr:col>2</xdr:col>
      <xdr:colOff>685800</xdr:colOff>
      <xdr:row>12</xdr:row>
      <xdr:rowOff>114300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3558540" y="1973580"/>
          <a:ext cx="0" cy="25146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152400</xdr:colOff>
      <xdr:row>14</xdr:row>
      <xdr:rowOff>30480</xdr:rowOff>
    </xdr:from>
    <xdr:to>
      <xdr:col>1</xdr:col>
      <xdr:colOff>632460</xdr:colOff>
      <xdr:row>14</xdr:row>
      <xdr:rowOff>30480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H="1" flipV="1">
          <a:off x="1394460" y="2476500"/>
          <a:ext cx="4800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68580</xdr:colOff>
      <xdr:row>8</xdr:row>
      <xdr:rowOff>7620</xdr:rowOff>
    </xdr:from>
    <xdr:to>
      <xdr:col>8</xdr:col>
      <xdr:colOff>548640</xdr:colOff>
      <xdr:row>11</xdr:row>
      <xdr:rowOff>152400</xdr:rowOff>
    </xdr:to>
    <xdr:sp macro="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903720" y="1447800"/>
          <a:ext cx="1272540" cy="6477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nächstes Element</a:t>
          </a:r>
        </a:p>
        <a:p>
          <a:pPr marL="0" indent="0" algn="ctr"/>
          <a:r>
            <a:rPr lang="de-DE" sz="105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next item</a:t>
          </a:r>
        </a:p>
      </xdr:txBody>
    </xdr:sp>
    <xdr:clientData/>
  </xdr:twoCellAnchor>
  <xdr:twoCellAnchor>
    <xdr:from>
      <xdr:col>3</xdr:col>
      <xdr:colOff>546736</xdr:colOff>
      <xdr:row>6</xdr:row>
      <xdr:rowOff>7618</xdr:rowOff>
    </xdr:from>
    <xdr:to>
      <xdr:col>7</xdr:col>
      <xdr:colOff>694373</xdr:colOff>
      <xdr:row>8</xdr:row>
      <xdr:rowOff>7619</xdr:rowOff>
    </xdr:to>
    <xdr:cxnSp macro="">
      <xdr:nvCxnSpPr>
        <xdr:cNvPr id="11" name="Verbinder: gewinkel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>
          <a:stCxn id="2" idx="2"/>
          <a:endCxn id="5" idx="0"/>
        </xdr:cNvCxnSpPr>
      </xdr:nvCxnSpPr>
      <xdr:spPr>
        <a:xfrm rot="16200000" flipH="1">
          <a:off x="5564029" y="-323375"/>
          <a:ext cx="323851" cy="3233737"/>
        </a:xfrm>
        <a:prstGeom prst="bentConnector3">
          <a:avLst>
            <a:gd name="adj1" fmla="val 50000"/>
          </a:avLst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53340</xdr:colOff>
      <xdr:row>15</xdr:row>
      <xdr:rowOff>114300</xdr:rowOff>
    </xdr:from>
    <xdr:to>
      <xdr:col>6</xdr:col>
      <xdr:colOff>533400</xdr:colOff>
      <xdr:row>18</xdr:row>
      <xdr:rowOff>129540</xdr:rowOff>
    </xdr:to>
    <xdr:sp macro="" textlink="">
      <xdr:nvSpPr>
        <xdr:cNvPr id="15" name="Rechteck: abgerundete Eck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303520" y="2727960"/>
          <a:ext cx="1272540" cy="5181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nächstes Element</a:t>
          </a:r>
        </a:p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next item</a:t>
          </a:r>
        </a:p>
      </xdr:txBody>
    </xdr:sp>
    <xdr:clientData/>
  </xdr:twoCellAnchor>
  <xdr:twoCellAnchor>
    <xdr:from>
      <xdr:col>6</xdr:col>
      <xdr:colOff>548640</xdr:colOff>
      <xdr:row>14</xdr:row>
      <xdr:rowOff>160020</xdr:rowOff>
    </xdr:from>
    <xdr:to>
      <xdr:col>7</xdr:col>
      <xdr:colOff>76200</xdr:colOff>
      <xdr:row>14</xdr:row>
      <xdr:rowOff>160020</xdr:rowOff>
    </xdr:to>
    <xdr:cxnSp macro="">
      <xdr:nvCxnSpPr>
        <xdr:cNvPr id="16" name="Gerade Verbindung mit Pfeil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 flipH="1">
          <a:off x="6591300" y="2606040"/>
          <a:ext cx="32004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479774</xdr:colOff>
      <xdr:row>3</xdr:row>
      <xdr:rowOff>167640</xdr:rowOff>
    </xdr:from>
    <xdr:to>
      <xdr:col>9</xdr:col>
      <xdr:colOff>176879</xdr:colOff>
      <xdr:row>8</xdr:row>
      <xdr:rowOff>53340</xdr:rowOff>
    </xdr:to>
    <xdr:sp macro="'WorkPackage_Click &quot;N_1&quot;'" textlink="">
      <xdr:nvSpPr>
        <xdr:cNvPr id="49" name="N_1" descr="Projekt-Cockpit|.\1 Projekt-Management\Projekt-Cockpit.xlsx|Ziele|.\1 Projekt-Management\Ziele.docx|Rahmenbedingungen|.\1 Projekt-Management\Rahmenbedingungen.docx|Projekt-Kosten|.\1 Projekt-Management\Projekt-Kosten.xlsx|Sharepoint|https://techpluscode.de/?p=4301&amp;preview=true&amp;_thumbnail_id=4304">
          <a:extLst>
            <a:ext uri="{FF2B5EF4-FFF2-40B4-BE49-F238E27FC236}">
              <a16:creationId xmlns:a16="http://schemas.microsoft.com/office/drawing/2014/main" id="{0B721935-10A6-4CAB-9540-E7219DDC00C4}"/>
            </a:ext>
          </a:extLst>
        </xdr:cNvPr>
        <xdr:cNvSpPr/>
      </xdr:nvSpPr>
      <xdr:spPr>
        <a:xfrm>
          <a:off x="5234654" y="800100"/>
          <a:ext cx="2074545" cy="80010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200" b="1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Projekt:
Neuer Montage-Arbeitsplatz </a:t>
          </a:r>
        </a:p>
      </xdr:txBody>
    </xdr:sp>
    <xdr:clientData/>
  </xdr:twoCellAnchor>
  <xdr:twoCellAnchor>
    <xdr:from>
      <xdr:col>0</xdr:col>
      <xdr:colOff>0</xdr:colOff>
      <xdr:row>10</xdr:row>
      <xdr:rowOff>167640</xdr:rowOff>
    </xdr:from>
    <xdr:to>
      <xdr:col>2</xdr:col>
      <xdr:colOff>9525</xdr:colOff>
      <xdr:row>14</xdr:row>
      <xdr:rowOff>76200</xdr:rowOff>
    </xdr:to>
    <xdr:sp macro="'WorkPackage_Click &quot;N_1.1&quot;'" textlink="">
      <xdr:nvSpPr>
        <xdr:cNvPr id="50" name="N_1.1" descr="|.\1 Projekt-Management\Teilziele.xlsx||.\1 Projekt-Management\Teilkosten.xlsx">
          <a:extLst>
            <a:ext uri="{FF2B5EF4-FFF2-40B4-BE49-F238E27FC236}">
              <a16:creationId xmlns:a16="http://schemas.microsoft.com/office/drawing/2014/main" id="{E57002B5-4543-441B-B641-B2B36D514EA0}"/>
            </a:ext>
          </a:extLst>
        </xdr:cNvPr>
        <xdr:cNvSpPr/>
      </xdr:nvSpPr>
      <xdr:spPr>
        <a:xfrm>
          <a:off x="0" y="2080260"/>
          <a:ext cx="1594485" cy="6400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Projekt-Management</a:t>
          </a:r>
        </a:p>
      </xdr:txBody>
    </xdr:sp>
    <xdr:clientData/>
  </xdr:twoCellAnchor>
  <xdr:twoCellAnchor>
    <xdr:from>
      <xdr:col>1</xdr:col>
      <xdr:colOff>4763</xdr:colOff>
      <xdr:row>8</xdr:row>
      <xdr:rowOff>53340</xdr:rowOff>
    </xdr:from>
    <xdr:to>
      <xdr:col>7</xdr:col>
      <xdr:colOff>724567</xdr:colOff>
      <xdr:row>10</xdr:row>
      <xdr:rowOff>167640</xdr:rowOff>
    </xdr:to>
    <xdr:cxnSp macro="">
      <xdr:nvCxnSpPr>
        <xdr:cNvPr id="51" name="N_1_1.1">
          <a:extLst>
            <a:ext uri="{FF2B5EF4-FFF2-40B4-BE49-F238E27FC236}">
              <a16:creationId xmlns:a16="http://schemas.microsoft.com/office/drawing/2014/main" id="{E9E84170-2A95-4487-B4DF-A32FCE979F69}"/>
            </a:ext>
          </a:extLst>
        </xdr:cNvPr>
        <xdr:cNvCxnSpPr>
          <a:stCxn id="49" idx="2"/>
          <a:endCxn id="50" idx="0"/>
        </xdr:cNvCxnSpPr>
      </xdr:nvCxnSpPr>
      <xdr:spPr>
        <a:xfrm rot="5400000">
          <a:off x="3294555" y="-897112"/>
          <a:ext cx="480060" cy="5474684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116396</xdr:colOff>
      <xdr:row>15</xdr:row>
      <xdr:rowOff>21336</xdr:rowOff>
    </xdr:from>
    <xdr:to>
      <xdr:col>2</xdr:col>
      <xdr:colOff>722186</xdr:colOff>
      <xdr:row>18</xdr:row>
      <xdr:rowOff>36576</xdr:rowOff>
    </xdr:to>
    <xdr:sp macro="" textlink="">
      <xdr:nvSpPr>
        <xdr:cNvPr id="52" name="N_1.1.1">
          <a:extLst>
            <a:ext uri="{FF2B5EF4-FFF2-40B4-BE49-F238E27FC236}">
              <a16:creationId xmlns:a16="http://schemas.microsoft.com/office/drawing/2014/main" id="{AC092B91-6AA0-463F-8EE4-C822EB0F9173}"/>
            </a:ext>
          </a:extLst>
        </xdr:cNvPr>
        <xdr:cNvSpPr/>
      </xdr:nvSpPr>
      <xdr:spPr>
        <a:xfrm>
          <a:off x="908876" y="2848356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1.1 Datenablage
100%</a:t>
          </a:r>
        </a:p>
      </xdr:txBody>
    </xdr:sp>
    <xdr:clientData/>
  </xdr:twoCellAnchor>
  <xdr:twoCellAnchor>
    <xdr:from>
      <xdr:col>1</xdr:col>
      <xdr:colOff>4762</xdr:colOff>
      <xdr:row>14</xdr:row>
      <xdr:rowOff>76200</xdr:rowOff>
    </xdr:from>
    <xdr:to>
      <xdr:col>1</xdr:col>
      <xdr:colOff>116395</xdr:colOff>
      <xdr:row>16</xdr:row>
      <xdr:rowOff>120396</xdr:rowOff>
    </xdr:to>
    <xdr:cxnSp macro="">
      <xdr:nvCxnSpPr>
        <xdr:cNvPr id="53" name="N_1.1_1.1.1">
          <a:extLst>
            <a:ext uri="{FF2B5EF4-FFF2-40B4-BE49-F238E27FC236}">
              <a16:creationId xmlns:a16="http://schemas.microsoft.com/office/drawing/2014/main" id="{8A2DB587-E2E1-4960-8D56-DCCB2EE91F88}"/>
            </a:ext>
          </a:extLst>
        </xdr:cNvPr>
        <xdr:cNvCxnSpPr>
          <a:stCxn id="50" idx="2"/>
          <a:endCxn id="52" idx="1"/>
        </xdr:cNvCxnSpPr>
      </xdr:nvCxnSpPr>
      <xdr:spPr>
        <a:xfrm rot="16200000" flipH="1">
          <a:off x="648081" y="2869501"/>
          <a:ext cx="409956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116396</xdr:colOff>
      <xdr:row>18</xdr:row>
      <xdr:rowOff>149352</xdr:rowOff>
    </xdr:from>
    <xdr:to>
      <xdr:col>2</xdr:col>
      <xdr:colOff>722186</xdr:colOff>
      <xdr:row>21</xdr:row>
      <xdr:rowOff>164592</xdr:rowOff>
    </xdr:to>
    <xdr:sp macro="'WorkPackage_Click &quot;N_1.1.2&quot;'" textlink="">
      <xdr:nvSpPr>
        <xdr:cNvPr id="54" name="N_1.1.2" descr=".\1 Projekt-Management\Projekt-Cockpit.xlsx">
          <a:extLst>
            <a:ext uri="{FF2B5EF4-FFF2-40B4-BE49-F238E27FC236}">
              <a16:creationId xmlns:a16="http://schemas.microsoft.com/office/drawing/2014/main" id="{381CB876-9D49-483F-93F3-18771E3DB541}"/>
            </a:ext>
          </a:extLst>
        </xdr:cNvPr>
        <xdr:cNvSpPr/>
      </xdr:nvSpPr>
      <xdr:spPr>
        <a:xfrm>
          <a:off x="908876" y="3525012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1.2 Controlling
50%</a:t>
          </a:r>
        </a:p>
      </xdr:txBody>
    </xdr:sp>
    <xdr:clientData/>
  </xdr:twoCellAnchor>
  <xdr:twoCellAnchor>
    <xdr:from>
      <xdr:col>1</xdr:col>
      <xdr:colOff>4762</xdr:colOff>
      <xdr:row>14</xdr:row>
      <xdr:rowOff>76200</xdr:rowOff>
    </xdr:from>
    <xdr:to>
      <xdr:col>1</xdr:col>
      <xdr:colOff>116395</xdr:colOff>
      <xdr:row>20</xdr:row>
      <xdr:rowOff>65532</xdr:rowOff>
    </xdr:to>
    <xdr:cxnSp macro="">
      <xdr:nvCxnSpPr>
        <xdr:cNvPr id="55" name="N_1.1_1.1.2">
          <a:extLst>
            <a:ext uri="{FF2B5EF4-FFF2-40B4-BE49-F238E27FC236}">
              <a16:creationId xmlns:a16="http://schemas.microsoft.com/office/drawing/2014/main" id="{5728C35D-9F1E-4742-8B94-1FCE61C4AD8E}"/>
            </a:ext>
          </a:extLst>
        </xdr:cNvPr>
        <xdr:cNvCxnSpPr>
          <a:stCxn id="50" idx="2"/>
          <a:endCxn id="54" idx="1"/>
        </xdr:cNvCxnSpPr>
      </xdr:nvCxnSpPr>
      <xdr:spPr>
        <a:xfrm rot="16200000" flipH="1">
          <a:off x="309753" y="3207829"/>
          <a:ext cx="1086612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116396</xdr:colOff>
      <xdr:row>22</xdr:row>
      <xdr:rowOff>94488</xdr:rowOff>
    </xdr:from>
    <xdr:to>
      <xdr:col>2</xdr:col>
      <xdr:colOff>722186</xdr:colOff>
      <xdr:row>25</xdr:row>
      <xdr:rowOff>109728</xdr:rowOff>
    </xdr:to>
    <xdr:sp macro="" textlink="">
      <xdr:nvSpPr>
        <xdr:cNvPr id="56" name="N_1.1.3">
          <a:extLst>
            <a:ext uri="{FF2B5EF4-FFF2-40B4-BE49-F238E27FC236}">
              <a16:creationId xmlns:a16="http://schemas.microsoft.com/office/drawing/2014/main" id="{E49716B9-D053-46FE-AC89-4AEBBB8017F7}"/>
            </a:ext>
          </a:extLst>
        </xdr:cNvPr>
        <xdr:cNvSpPr/>
      </xdr:nvSpPr>
      <xdr:spPr>
        <a:xfrm>
          <a:off x="908876" y="4201668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1.3 Marketing
50%</a:t>
          </a:r>
        </a:p>
      </xdr:txBody>
    </xdr:sp>
    <xdr:clientData/>
  </xdr:twoCellAnchor>
  <xdr:twoCellAnchor>
    <xdr:from>
      <xdr:col>1</xdr:col>
      <xdr:colOff>4762</xdr:colOff>
      <xdr:row>14</xdr:row>
      <xdr:rowOff>76200</xdr:rowOff>
    </xdr:from>
    <xdr:to>
      <xdr:col>1</xdr:col>
      <xdr:colOff>116395</xdr:colOff>
      <xdr:row>24</xdr:row>
      <xdr:rowOff>10668</xdr:rowOff>
    </xdr:to>
    <xdr:cxnSp macro="">
      <xdr:nvCxnSpPr>
        <xdr:cNvPr id="57" name="N_1.1_1.1.3">
          <a:extLst>
            <a:ext uri="{FF2B5EF4-FFF2-40B4-BE49-F238E27FC236}">
              <a16:creationId xmlns:a16="http://schemas.microsoft.com/office/drawing/2014/main" id="{B3181115-7381-43B4-A0B9-214BD5C8E158}"/>
            </a:ext>
          </a:extLst>
        </xdr:cNvPr>
        <xdr:cNvCxnSpPr>
          <a:stCxn id="50" idx="2"/>
          <a:endCxn id="56" idx="1"/>
        </xdr:cNvCxnSpPr>
      </xdr:nvCxnSpPr>
      <xdr:spPr>
        <a:xfrm rot="16200000" flipH="1">
          <a:off x="-28575" y="3546157"/>
          <a:ext cx="1763268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280607</xdr:colOff>
      <xdr:row>10</xdr:row>
      <xdr:rowOff>167640</xdr:rowOff>
    </xdr:from>
    <xdr:to>
      <xdr:col>4</xdr:col>
      <xdr:colOff>290132</xdr:colOff>
      <xdr:row>14</xdr:row>
      <xdr:rowOff>76200</xdr:rowOff>
    </xdr:to>
    <xdr:sp macro="'WorkPackage_Click &quot;N_1.2&quot;'" textlink="">
      <xdr:nvSpPr>
        <xdr:cNvPr id="58" name="N_1.2" descr="|.\2 Initialisierung\Teilziele.xlsx||.\2 Initialisierung\Teilkosten.xlsx">
          <a:extLst>
            <a:ext uri="{FF2B5EF4-FFF2-40B4-BE49-F238E27FC236}">
              <a16:creationId xmlns:a16="http://schemas.microsoft.com/office/drawing/2014/main" id="{D186CD16-F65D-427A-8C87-2860D0BCC01A}"/>
            </a:ext>
          </a:extLst>
        </xdr:cNvPr>
        <xdr:cNvSpPr/>
      </xdr:nvSpPr>
      <xdr:spPr>
        <a:xfrm>
          <a:off x="1865567" y="2080260"/>
          <a:ext cx="1594485" cy="6400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Initialisierung</a:t>
          </a:r>
        </a:p>
      </xdr:txBody>
    </xdr:sp>
    <xdr:clientData/>
  </xdr:twoCellAnchor>
  <xdr:twoCellAnchor>
    <xdr:from>
      <xdr:col>3</xdr:col>
      <xdr:colOff>285370</xdr:colOff>
      <xdr:row>8</xdr:row>
      <xdr:rowOff>53341</xdr:rowOff>
    </xdr:from>
    <xdr:to>
      <xdr:col>7</xdr:col>
      <xdr:colOff>724567</xdr:colOff>
      <xdr:row>10</xdr:row>
      <xdr:rowOff>167641</xdr:rowOff>
    </xdr:to>
    <xdr:cxnSp macro="">
      <xdr:nvCxnSpPr>
        <xdr:cNvPr id="59" name="N_1_1.2">
          <a:extLst>
            <a:ext uri="{FF2B5EF4-FFF2-40B4-BE49-F238E27FC236}">
              <a16:creationId xmlns:a16="http://schemas.microsoft.com/office/drawing/2014/main" id="{F4194525-41ED-44B2-ADBC-434E1FF93B80}"/>
            </a:ext>
          </a:extLst>
        </xdr:cNvPr>
        <xdr:cNvCxnSpPr>
          <a:stCxn id="49" idx="2"/>
          <a:endCxn id="58" idx="0"/>
        </xdr:cNvCxnSpPr>
      </xdr:nvCxnSpPr>
      <xdr:spPr>
        <a:xfrm rot="5400000">
          <a:off x="4227339" y="35672"/>
          <a:ext cx="480060" cy="3609117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561213</xdr:colOff>
      <xdr:row>10</xdr:row>
      <xdr:rowOff>167640</xdr:rowOff>
    </xdr:from>
    <xdr:to>
      <xdr:col>6</xdr:col>
      <xdr:colOff>570738</xdr:colOff>
      <xdr:row>14</xdr:row>
      <xdr:rowOff>76200</xdr:rowOff>
    </xdr:to>
    <xdr:sp macro="'WorkPackage_Click &quot;N_1.3&quot;'" textlink="">
      <xdr:nvSpPr>
        <xdr:cNvPr id="60" name="N_1.3" descr="|.\3 Definition\Teilziele.xlsx||.\3 Definition\Teilkosten.xlsx">
          <a:extLst>
            <a:ext uri="{FF2B5EF4-FFF2-40B4-BE49-F238E27FC236}">
              <a16:creationId xmlns:a16="http://schemas.microsoft.com/office/drawing/2014/main" id="{C9011271-8000-4EBD-B82C-F2D6C317BC62}"/>
            </a:ext>
          </a:extLst>
        </xdr:cNvPr>
        <xdr:cNvSpPr/>
      </xdr:nvSpPr>
      <xdr:spPr>
        <a:xfrm>
          <a:off x="3731133" y="2080260"/>
          <a:ext cx="1594485" cy="6400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Definition</a:t>
          </a:r>
        </a:p>
      </xdr:txBody>
    </xdr:sp>
    <xdr:clientData/>
  </xdr:twoCellAnchor>
  <xdr:twoCellAnchor>
    <xdr:from>
      <xdr:col>5</xdr:col>
      <xdr:colOff>565976</xdr:colOff>
      <xdr:row>8</xdr:row>
      <xdr:rowOff>53341</xdr:rowOff>
    </xdr:from>
    <xdr:to>
      <xdr:col>7</xdr:col>
      <xdr:colOff>724567</xdr:colOff>
      <xdr:row>10</xdr:row>
      <xdr:rowOff>167641</xdr:rowOff>
    </xdr:to>
    <xdr:cxnSp macro="">
      <xdr:nvCxnSpPr>
        <xdr:cNvPr id="61" name="N_1_1.3">
          <a:extLst>
            <a:ext uri="{FF2B5EF4-FFF2-40B4-BE49-F238E27FC236}">
              <a16:creationId xmlns:a16="http://schemas.microsoft.com/office/drawing/2014/main" id="{F48834E9-7963-4264-9E8D-0E89194A6000}"/>
            </a:ext>
          </a:extLst>
        </xdr:cNvPr>
        <xdr:cNvCxnSpPr>
          <a:stCxn id="49" idx="2"/>
          <a:endCxn id="60" idx="0"/>
        </xdr:cNvCxnSpPr>
      </xdr:nvCxnSpPr>
      <xdr:spPr>
        <a:xfrm rot="5400000">
          <a:off x="5160122" y="968455"/>
          <a:ext cx="480060" cy="1743551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677609</xdr:colOff>
      <xdr:row>15</xdr:row>
      <xdr:rowOff>21336</xdr:rowOff>
    </xdr:from>
    <xdr:to>
      <xdr:col>7</xdr:col>
      <xdr:colOff>490919</xdr:colOff>
      <xdr:row>18</xdr:row>
      <xdr:rowOff>36576</xdr:rowOff>
    </xdr:to>
    <xdr:sp macro="'WorkPackage_Click &quot;N_1.3.1&quot;'" textlink="">
      <xdr:nvSpPr>
        <xdr:cNvPr id="62" name="N_1.3.1" descr="|https://techpluscode.de">
          <a:extLst>
            <a:ext uri="{FF2B5EF4-FFF2-40B4-BE49-F238E27FC236}">
              <a16:creationId xmlns:a16="http://schemas.microsoft.com/office/drawing/2014/main" id="{3F703A57-AA95-47FB-9452-67CC440B4C47}"/>
            </a:ext>
          </a:extLst>
        </xdr:cNvPr>
        <xdr:cNvSpPr/>
      </xdr:nvSpPr>
      <xdr:spPr>
        <a:xfrm>
          <a:off x="4640009" y="2848356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3.1 Ziele
100%</a:t>
          </a:r>
        </a:p>
      </xdr:txBody>
    </xdr:sp>
    <xdr:clientData/>
  </xdr:twoCellAnchor>
  <xdr:twoCellAnchor>
    <xdr:from>
      <xdr:col>5</xdr:col>
      <xdr:colOff>565975</xdr:colOff>
      <xdr:row>14</xdr:row>
      <xdr:rowOff>76200</xdr:rowOff>
    </xdr:from>
    <xdr:to>
      <xdr:col>5</xdr:col>
      <xdr:colOff>677608</xdr:colOff>
      <xdr:row>16</xdr:row>
      <xdr:rowOff>120396</xdr:rowOff>
    </xdr:to>
    <xdr:cxnSp macro="">
      <xdr:nvCxnSpPr>
        <xdr:cNvPr id="63" name="N_1.3_1.3.1">
          <a:extLst>
            <a:ext uri="{FF2B5EF4-FFF2-40B4-BE49-F238E27FC236}">
              <a16:creationId xmlns:a16="http://schemas.microsoft.com/office/drawing/2014/main" id="{5185F191-6546-4828-8EC1-13C1285AF9E1}"/>
            </a:ext>
          </a:extLst>
        </xdr:cNvPr>
        <xdr:cNvCxnSpPr>
          <a:stCxn id="60" idx="2"/>
          <a:endCxn id="62" idx="1"/>
        </xdr:cNvCxnSpPr>
      </xdr:nvCxnSpPr>
      <xdr:spPr>
        <a:xfrm rot="16200000" flipH="1">
          <a:off x="4379214" y="2869501"/>
          <a:ext cx="409956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677609</xdr:colOff>
      <xdr:row>18</xdr:row>
      <xdr:rowOff>149352</xdr:rowOff>
    </xdr:from>
    <xdr:to>
      <xdr:col>7</xdr:col>
      <xdr:colOff>490919</xdr:colOff>
      <xdr:row>21</xdr:row>
      <xdr:rowOff>164592</xdr:rowOff>
    </xdr:to>
    <xdr:sp macro="" textlink="">
      <xdr:nvSpPr>
        <xdr:cNvPr id="896" name="N_1.3.2">
          <a:extLst>
            <a:ext uri="{FF2B5EF4-FFF2-40B4-BE49-F238E27FC236}">
              <a16:creationId xmlns:a16="http://schemas.microsoft.com/office/drawing/2014/main" id="{73316EF8-E5ED-418A-BE3E-0EED5E0643B3}"/>
            </a:ext>
          </a:extLst>
        </xdr:cNvPr>
        <xdr:cNvSpPr/>
      </xdr:nvSpPr>
      <xdr:spPr>
        <a:xfrm>
          <a:off x="4640009" y="3525012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3.2 Stakeholders
100%</a:t>
          </a:r>
        </a:p>
      </xdr:txBody>
    </xdr:sp>
    <xdr:clientData/>
  </xdr:twoCellAnchor>
  <xdr:twoCellAnchor>
    <xdr:from>
      <xdr:col>5</xdr:col>
      <xdr:colOff>565975</xdr:colOff>
      <xdr:row>14</xdr:row>
      <xdr:rowOff>76200</xdr:rowOff>
    </xdr:from>
    <xdr:to>
      <xdr:col>5</xdr:col>
      <xdr:colOff>677608</xdr:colOff>
      <xdr:row>20</xdr:row>
      <xdr:rowOff>65532</xdr:rowOff>
    </xdr:to>
    <xdr:cxnSp macro="">
      <xdr:nvCxnSpPr>
        <xdr:cNvPr id="897" name="N_1.3_1.3.2">
          <a:extLst>
            <a:ext uri="{FF2B5EF4-FFF2-40B4-BE49-F238E27FC236}">
              <a16:creationId xmlns:a16="http://schemas.microsoft.com/office/drawing/2014/main" id="{BA3DD87C-8B45-4255-B688-F985883BF57E}"/>
            </a:ext>
          </a:extLst>
        </xdr:cNvPr>
        <xdr:cNvCxnSpPr>
          <a:stCxn id="60" idx="2"/>
          <a:endCxn id="896" idx="1"/>
        </xdr:cNvCxnSpPr>
      </xdr:nvCxnSpPr>
      <xdr:spPr>
        <a:xfrm rot="16200000" flipH="1">
          <a:off x="4040886" y="3207829"/>
          <a:ext cx="1086612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49339</xdr:colOff>
      <xdr:row>10</xdr:row>
      <xdr:rowOff>167640</xdr:rowOff>
    </xdr:from>
    <xdr:to>
      <xdr:col>9</xdr:col>
      <xdr:colOff>58864</xdr:colOff>
      <xdr:row>14</xdr:row>
      <xdr:rowOff>76200</xdr:rowOff>
    </xdr:to>
    <xdr:sp macro="'WorkPackage_Click &quot;N_1.4&quot;'" textlink="">
      <xdr:nvSpPr>
        <xdr:cNvPr id="898" name="N_1.4" descr="|.\4 Planung\Teilziele.xlsx||.\4 Planung\Teilkosten.xlsx">
          <a:extLst>
            <a:ext uri="{FF2B5EF4-FFF2-40B4-BE49-F238E27FC236}">
              <a16:creationId xmlns:a16="http://schemas.microsoft.com/office/drawing/2014/main" id="{DBD51596-023E-4756-9CF3-01DF9CBEB24C}"/>
            </a:ext>
          </a:extLst>
        </xdr:cNvPr>
        <xdr:cNvSpPr/>
      </xdr:nvSpPr>
      <xdr:spPr>
        <a:xfrm>
          <a:off x="5596699" y="2080260"/>
          <a:ext cx="1594485" cy="6400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Planung</a:t>
          </a:r>
        </a:p>
      </xdr:txBody>
    </xdr:sp>
    <xdr:clientData/>
  </xdr:twoCellAnchor>
  <xdr:twoCellAnchor>
    <xdr:from>
      <xdr:col>7</xdr:col>
      <xdr:colOff>724566</xdr:colOff>
      <xdr:row>8</xdr:row>
      <xdr:rowOff>53340</xdr:rowOff>
    </xdr:from>
    <xdr:to>
      <xdr:col>8</xdr:col>
      <xdr:colOff>54101</xdr:colOff>
      <xdr:row>10</xdr:row>
      <xdr:rowOff>167640</xdr:rowOff>
    </xdr:to>
    <xdr:cxnSp macro="">
      <xdr:nvCxnSpPr>
        <xdr:cNvPr id="899" name="N_1_1.4">
          <a:extLst>
            <a:ext uri="{FF2B5EF4-FFF2-40B4-BE49-F238E27FC236}">
              <a16:creationId xmlns:a16="http://schemas.microsoft.com/office/drawing/2014/main" id="{D4D94B23-3BE5-43A7-8D02-62E266A2E977}"/>
            </a:ext>
          </a:extLst>
        </xdr:cNvPr>
        <xdr:cNvCxnSpPr>
          <a:stCxn id="49" idx="2"/>
          <a:endCxn id="898" idx="0"/>
        </xdr:cNvCxnSpPr>
      </xdr:nvCxnSpPr>
      <xdr:spPr>
        <a:xfrm rot="16200000" flipH="1">
          <a:off x="6092904" y="1779222"/>
          <a:ext cx="480060" cy="122015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165735</xdr:colOff>
      <xdr:row>15</xdr:row>
      <xdr:rowOff>21336</xdr:rowOff>
    </xdr:from>
    <xdr:to>
      <xdr:col>9</xdr:col>
      <xdr:colOff>771525</xdr:colOff>
      <xdr:row>18</xdr:row>
      <xdr:rowOff>36576</xdr:rowOff>
    </xdr:to>
    <xdr:sp macro="'WorkPackage_Click &quot;N_1.4.1&quot;'" textlink="">
      <xdr:nvSpPr>
        <xdr:cNvPr id="900" name="N_1.4.1" descr="|.\4 Planung\Arbeitspakete\4.1 Arbeitsablauf\Arbeitspaket.docx">
          <a:extLst>
            <a:ext uri="{FF2B5EF4-FFF2-40B4-BE49-F238E27FC236}">
              <a16:creationId xmlns:a16="http://schemas.microsoft.com/office/drawing/2014/main" id="{0F6D635B-FE7A-4780-A2FF-6772C8B6C21C}"/>
            </a:ext>
          </a:extLst>
        </xdr:cNvPr>
        <xdr:cNvSpPr/>
      </xdr:nvSpPr>
      <xdr:spPr>
        <a:xfrm>
          <a:off x="6505575" y="2848356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4.1 Arbeitsablauf
100%</a:t>
          </a:r>
        </a:p>
      </xdr:txBody>
    </xdr:sp>
    <xdr:clientData/>
  </xdr:twoCellAnchor>
  <xdr:twoCellAnchor>
    <xdr:from>
      <xdr:col>8</xdr:col>
      <xdr:colOff>54101</xdr:colOff>
      <xdr:row>14</xdr:row>
      <xdr:rowOff>76200</xdr:rowOff>
    </xdr:from>
    <xdr:to>
      <xdr:col>8</xdr:col>
      <xdr:colOff>165734</xdr:colOff>
      <xdr:row>16</xdr:row>
      <xdr:rowOff>120396</xdr:rowOff>
    </xdr:to>
    <xdr:cxnSp macro="">
      <xdr:nvCxnSpPr>
        <xdr:cNvPr id="901" name="N_1.4_1.4.1">
          <a:extLst>
            <a:ext uri="{FF2B5EF4-FFF2-40B4-BE49-F238E27FC236}">
              <a16:creationId xmlns:a16="http://schemas.microsoft.com/office/drawing/2014/main" id="{EC1DCFDA-7556-4B63-99EC-9DB576D14A64}"/>
            </a:ext>
          </a:extLst>
        </xdr:cNvPr>
        <xdr:cNvCxnSpPr>
          <a:stCxn id="898" idx="2"/>
          <a:endCxn id="900" idx="1"/>
        </xdr:cNvCxnSpPr>
      </xdr:nvCxnSpPr>
      <xdr:spPr>
        <a:xfrm rot="16200000" flipH="1">
          <a:off x="6244780" y="2869501"/>
          <a:ext cx="409956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165735</xdr:colOff>
      <xdr:row>18</xdr:row>
      <xdr:rowOff>149352</xdr:rowOff>
    </xdr:from>
    <xdr:to>
      <xdr:col>9</xdr:col>
      <xdr:colOff>771525</xdr:colOff>
      <xdr:row>21</xdr:row>
      <xdr:rowOff>164592</xdr:rowOff>
    </xdr:to>
    <xdr:sp macro="'WorkPackage_Click &quot;N_1.4.2&quot;'" textlink="">
      <xdr:nvSpPr>
        <xdr:cNvPr id="902" name="N_1.4.2" descr="|.\4 Planung\Arbeitspakete\4.2 Arbeitsplatzgestaltung\Arbeitspaket.docx">
          <a:extLst>
            <a:ext uri="{FF2B5EF4-FFF2-40B4-BE49-F238E27FC236}">
              <a16:creationId xmlns:a16="http://schemas.microsoft.com/office/drawing/2014/main" id="{C9AFB895-8C68-4842-A5E8-E41E122FE0AF}"/>
            </a:ext>
          </a:extLst>
        </xdr:cNvPr>
        <xdr:cNvSpPr/>
      </xdr:nvSpPr>
      <xdr:spPr>
        <a:xfrm>
          <a:off x="6505575" y="3525012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4.2 Arbeitsplatzgestaltung
100%</a:t>
          </a:r>
        </a:p>
      </xdr:txBody>
    </xdr:sp>
    <xdr:clientData/>
  </xdr:twoCellAnchor>
  <xdr:twoCellAnchor>
    <xdr:from>
      <xdr:col>8</xdr:col>
      <xdr:colOff>54101</xdr:colOff>
      <xdr:row>14</xdr:row>
      <xdr:rowOff>76200</xdr:rowOff>
    </xdr:from>
    <xdr:to>
      <xdr:col>8</xdr:col>
      <xdr:colOff>165734</xdr:colOff>
      <xdr:row>20</xdr:row>
      <xdr:rowOff>65532</xdr:rowOff>
    </xdr:to>
    <xdr:cxnSp macro="">
      <xdr:nvCxnSpPr>
        <xdr:cNvPr id="903" name="N_1.4_1.4.2">
          <a:extLst>
            <a:ext uri="{FF2B5EF4-FFF2-40B4-BE49-F238E27FC236}">
              <a16:creationId xmlns:a16="http://schemas.microsoft.com/office/drawing/2014/main" id="{EF29ECE0-A408-4740-89C0-90F41E4A1CFB}"/>
            </a:ext>
          </a:extLst>
        </xdr:cNvPr>
        <xdr:cNvCxnSpPr>
          <a:stCxn id="898" idx="2"/>
          <a:endCxn id="902" idx="1"/>
        </xdr:cNvCxnSpPr>
      </xdr:nvCxnSpPr>
      <xdr:spPr>
        <a:xfrm rot="16200000" flipH="1">
          <a:off x="5906452" y="3207829"/>
          <a:ext cx="1086612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165735</xdr:colOff>
      <xdr:row>22</xdr:row>
      <xdr:rowOff>94488</xdr:rowOff>
    </xdr:from>
    <xdr:to>
      <xdr:col>9</xdr:col>
      <xdr:colOff>771525</xdr:colOff>
      <xdr:row>25</xdr:row>
      <xdr:rowOff>109728</xdr:rowOff>
    </xdr:to>
    <xdr:sp macro="" textlink="">
      <xdr:nvSpPr>
        <xdr:cNvPr id="904" name="N_1.4.3">
          <a:extLst>
            <a:ext uri="{FF2B5EF4-FFF2-40B4-BE49-F238E27FC236}">
              <a16:creationId xmlns:a16="http://schemas.microsoft.com/office/drawing/2014/main" id="{5EE30BF9-1EEE-4B93-89DD-588FB2334D94}"/>
            </a:ext>
          </a:extLst>
        </xdr:cNvPr>
        <xdr:cNvSpPr/>
      </xdr:nvSpPr>
      <xdr:spPr>
        <a:xfrm>
          <a:off x="6505575" y="4201668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 Lieferantensuche
50%</a:t>
          </a:r>
        </a:p>
      </xdr:txBody>
    </xdr:sp>
    <xdr:clientData/>
  </xdr:twoCellAnchor>
  <xdr:twoCellAnchor>
    <xdr:from>
      <xdr:col>8</xdr:col>
      <xdr:colOff>54101</xdr:colOff>
      <xdr:row>14</xdr:row>
      <xdr:rowOff>76200</xdr:rowOff>
    </xdr:from>
    <xdr:to>
      <xdr:col>8</xdr:col>
      <xdr:colOff>165734</xdr:colOff>
      <xdr:row>24</xdr:row>
      <xdr:rowOff>10668</xdr:rowOff>
    </xdr:to>
    <xdr:cxnSp macro="">
      <xdr:nvCxnSpPr>
        <xdr:cNvPr id="905" name="N_1.4_1.4.3">
          <a:extLst>
            <a:ext uri="{FF2B5EF4-FFF2-40B4-BE49-F238E27FC236}">
              <a16:creationId xmlns:a16="http://schemas.microsoft.com/office/drawing/2014/main" id="{F41C5AF0-6EF1-4537-8A07-56DD93E9BF89}"/>
            </a:ext>
          </a:extLst>
        </xdr:cNvPr>
        <xdr:cNvCxnSpPr>
          <a:stCxn id="898" idx="2"/>
          <a:endCxn id="904" idx="1"/>
        </xdr:cNvCxnSpPr>
      </xdr:nvCxnSpPr>
      <xdr:spPr>
        <a:xfrm rot="16200000" flipH="1">
          <a:off x="5568124" y="3546157"/>
          <a:ext cx="1763268" cy="11163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282131</xdr:colOff>
      <xdr:row>26</xdr:row>
      <xdr:rowOff>39624</xdr:rowOff>
    </xdr:from>
    <xdr:to>
      <xdr:col>11</xdr:col>
      <xdr:colOff>95440</xdr:colOff>
      <xdr:row>29</xdr:row>
      <xdr:rowOff>54864</xdr:rowOff>
    </xdr:to>
    <xdr:sp macro="'WorkPackage_Click &quot;N_1.4.3.1&quot;'" textlink="">
      <xdr:nvSpPr>
        <xdr:cNvPr id="906" name="N_1.4.3.1" descr="|.\4 Planung\Arbeitspakete\4.3.1 Lastenheft\Arbeitspaket.docx">
          <a:extLst>
            <a:ext uri="{FF2B5EF4-FFF2-40B4-BE49-F238E27FC236}">
              <a16:creationId xmlns:a16="http://schemas.microsoft.com/office/drawing/2014/main" id="{4480D18D-EE93-41EB-A711-107BAA8025E6}"/>
            </a:ext>
          </a:extLst>
        </xdr:cNvPr>
        <xdr:cNvSpPr/>
      </xdr:nvSpPr>
      <xdr:spPr>
        <a:xfrm>
          <a:off x="7414451" y="4878324"/>
          <a:ext cx="1398269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4.3.1 Lastenheft
100%</a:t>
          </a:r>
        </a:p>
      </xdr:txBody>
    </xdr:sp>
    <xdr:clientData/>
  </xdr:twoCellAnchor>
  <xdr:twoCellAnchor>
    <xdr:from>
      <xdr:col>9</xdr:col>
      <xdr:colOff>72389</xdr:colOff>
      <xdr:row>25</xdr:row>
      <xdr:rowOff>109728</xdr:rowOff>
    </xdr:from>
    <xdr:to>
      <xdr:col>9</xdr:col>
      <xdr:colOff>282130</xdr:colOff>
      <xdr:row>27</xdr:row>
      <xdr:rowOff>138684</xdr:rowOff>
    </xdr:to>
    <xdr:cxnSp macro="">
      <xdr:nvCxnSpPr>
        <xdr:cNvPr id="907" name="N_1.4.3_1.4.3.1">
          <a:extLst>
            <a:ext uri="{FF2B5EF4-FFF2-40B4-BE49-F238E27FC236}">
              <a16:creationId xmlns:a16="http://schemas.microsoft.com/office/drawing/2014/main" id="{4B10AE48-AC2A-46DA-AE88-4D4C07694B8A}"/>
            </a:ext>
          </a:extLst>
        </xdr:cNvPr>
        <xdr:cNvCxnSpPr>
          <a:stCxn id="904" idx="2"/>
          <a:endCxn id="906" idx="1"/>
        </xdr:cNvCxnSpPr>
      </xdr:nvCxnSpPr>
      <xdr:spPr>
        <a:xfrm rot="16200000" flipH="1">
          <a:off x="7112222" y="4858035"/>
          <a:ext cx="394716" cy="209741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282131</xdr:colOff>
      <xdr:row>29</xdr:row>
      <xdr:rowOff>167640</xdr:rowOff>
    </xdr:from>
    <xdr:to>
      <xdr:col>11</xdr:col>
      <xdr:colOff>95440</xdr:colOff>
      <xdr:row>33</xdr:row>
      <xdr:rowOff>0</xdr:rowOff>
    </xdr:to>
    <xdr:sp macro="'WorkPackage_Click &quot;N_1.4.3.2&quot;'" textlink="">
      <xdr:nvSpPr>
        <xdr:cNvPr id="908" name="N_1.4.3.2" descr="|.\4 Planung\Arbeitspakete\4.3.2 Anfragen\Arbeitspaket.docx">
          <a:extLst>
            <a:ext uri="{FF2B5EF4-FFF2-40B4-BE49-F238E27FC236}">
              <a16:creationId xmlns:a16="http://schemas.microsoft.com/office/drawing/2014/main" id="{747D8179-36B3-4D42-8125-F65CB78FF788}"/>
            </a:ext>
          </a:extLst>
        </xdr:cNvPr>
        <xdr:cNvSpPr/>
      </xdr:nvSpPr>
      <xdr:spPr>
        <a:xfrm>
          <a:off x="7414451" y="5554980"/>
          <a:ext cx="1398269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4.3.2 Anfragen
50%</a:t>
          </a:r>
        </a:p>
      </xdr:txBody>
    </xdr:sp>
    <xdr:clientData/>
  </xdr:twoCellAnchor>
  <xdr:twoCellAnchor>
    <xdr:from>
      <xdr:col>9</xdr:col>
      <xdr:colOff>72389</xdr:colOff>
      <xdr:row>25</xdr:row>
      <xdr:rowOff>109728</xdr:rowOff>
    </xdr:from>
    <xdr:to>
      <xdr:col>9</xdr:col>
      <xdr:colOff>282130</xdr:colOff>
      <xdr:row>31</xdr:row>
      <xdr:rowOff>83820</xdr:rowOff>
    </xdr:to>
    <xdr:cxnSp macro="">
      <xdr:nvCxnSpPr>
        <xdr:cNvPr id="909" name="N_1.4.3_1.4.3.2">
          <a:extLst>
            <a:ext uri="{FF2B5EF4-FFF2-40B4-BE49-F238E27FC236}">
              <a16:creationId xmlns:a16="http://schemas.microsoft.com/office/drawing/2014/main" id="{BDAAB689-CE26-4095-B17A-7B689858B905}"/>
            </a:ext>
          </a:extLst>
        </xdr:cNvPr>
        <xdr:cNvCxnSpPr>
          <a:stCxn id="904" idx="2"/>
          <a:endCxn id="908" idx="1"/>
        </xdr:cNvCxnSpPr>
      </xdr:nvCxnSpPr>
      <xdr:spPr>
        <a:xfrm rot="16200000" flipH="1">
          <a:off x="6773894" y="5196363"/>
          <a:ext cx="1071372" cy="209741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282131</xdr:colOff>
      <xdr:row>33</xdr:row>
      <xdr:rowOff>112776</xdr:rowOff>
    </xdr:from>
    <xdr:to>
      <xdr:col>11</xdr:col>
      <xdr:colOff>95440</xdr:colOff>
      <xdr:row>36</xdr:row>
      <xdr:rowOff>128016</xdr:rowOff>
    </xdr:to>
    <xdr:sp macro="'WorkPackage_Click &quot;N_1.4.3.3&quot;'" textlink="">
      <xdr:nvSpPr>
        <xdr:cNvPr id="910" name="N_1.4.3.3" descr="|.\4 Planung\Arbeitspakete\4.3.3 Vergleich\Arbeitspaket.docx">
          <a:extLst>
            <a:ext uri="{FF2B5EF4-FFF2-40B4-BE49-F238E27FC236}">
              <a16:creationId xmlns:a16="http://schemas.microsoft.com/office/drawing/2014/main" id="{BCF62DE3-00E9-4BED-9E82-C81838C797EB}"/>
            </a:ext>
          </a:extLst>
        </xdr:cNvPr>
        <xdr:cNvSpPr/>
      </xdr:nvSpPr>
      <xdr:spPr>
        <a:xfrm>
          <a:off x="7414451" y="6231636"/>
          <a:ext cx="1398269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4.3.3 Vergleich
0%</a:t>
          </a:r>
        </a:p>
      </xdr:txBody>
    </xdr:sp>
    <xdr:clientData/>
  </xdr:twoCellAnchor>
  <xdr:twoCellAnchor>
    <xdr:from>
      <xdr:col>9</xdr:col>
      <xdr:colOff>72389</xdr:colOff>
      <xdr:row>25</xdr:row>
      <xdr:rowOff>109728</xdr:rowOff>
    </xdr:from>
    <xdr:to>
      <xdr:col>9</xdr:col>
      <xdr:colOff>282130</xdr:colOff>
      <xdr:row>35</xdr:row>
      <xdr:rowOff>28956</xdr:rowOff>
    </xdr:to>
    <xdr:cxnSp macro="">
      <xdr:nvCxnSpPr>
        <xdr:cNvPr id="911" name="N_1.4.3_1.4.3.3">
          <a:extLst>
            <a:ext uri="{FF2B5EF4-FFF2-40B4-BE49-F238E27FC236}">
              <a16:creationId xmlns:a16="http://schemas.microsoft.com/office/drawing/2014/main" id="{879899FE-A2E1-40FD-9280-BA7BFD5924B4}"/>
            </a:ext>
          </a:extLst>
        </xdr:cNvPr>
        <xdr:cNvCxnSpPr>
          <a:stCxn id="904" idx="2"/>
          <a:endCxn id="910" idx="1"/>
        </xdr:cNvCxnSpPr>
      </xdr:nvCxnSpPr>
      <xdr:spPr>
        <a:xfrm rot="16200000" flipH="1">
          <a:off x="6435566" y="5534691"/>
          <a:ext cx="1748028" cy="209741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446342</xdr:colOff>
      <xdr:row>10</xdr:row>
      <xdr:rowOff>167640</xdr:rowOff>
    </xdr:from>
    <xdr:to>
      <xdr:col>12</xdr:col>
      <xdr:colOff>455867</xdr:colOff>
      <xdr:row>14</xdr:row>
      <xdr:rowOff>76200</xdr:rowOff>
    </xdr:to>
    <xdr:sp macro="'WorkPackage_Click &quot;N_1.5&quot;'" textlink="">
      <xdr:nvSpPr>
        <xdr:cNvPr id="912" name="N_1.5" descr="|.\5 Realisierung\Teilziele.xlsx||.\5 Realisierung\Teilkosten.xlsx">
          <a:extLst>
            <a:ext uri="{FF2B5EF4-FFF2-40B4-BE49-F238E27FC236}">
              <a16:creationId xmlns:a16="http://schemas.microsoft.com/office/drawing/2014/main" id="{2E12340F-715B-41A1-9A6B-38908EFBBB46}"/>
            </a:ext>
          </a:extLst>
        </xdr:cNvPr>
        <xdr:cNvSpPr/>
      </xdr:nvSpPr>
      <xdr:spPr>
        <a:xfrm>
          <a:off x="8371142" y="2080260"/>
          <a:ext cx="1594485" cy="6400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Realisierung</a:t>
          </a:r>
        </a:p>
      </xdr:txBody>
    </xdr:sp>
    <xdr:clientData/>
  </xdr:twoCellAnchor>
  <xdr:twoCellAnchor>
    <xdr:from>
      <xdr:col>7</xdr:col>
      <xdr:colOff>724567</xdr:colOff>
      <xdr:row>8</xdr:row>
      <xdr:rowOff>53340</xdr:rowOff>
    </xdr:from>
    <xdr:to>
      <xdr:col>11</xdr:col>
      <xdr:colOff>451105</xdr:colOff>
      <xdr:row>10</xdr:row>
      <xdr:rowOff>167640</xdr:rowOff>
    </xdr:to>
    <xdr:cxnSp macro="">
      <xdr:nvCxnSpPr>
        <xdr:cNvPr id="913" name="N_1_1.5">
          <a:extLst>
            <a:ext uri="{FF2B5EF4-FFF2-40B4-BE49-F238E27FC236}">
              <a16:creationId xmlns:a16="http://schemas.microsoft.com/office/drawing/2014/main" id="{D3BFF0A1-0FAB-4C76-B57C-F490B583644D}"/>
            </a:ext>
          </a:extLst>
        </xdr:cNvPr>
        <xdr:cNvCxnSpPr>
          <a:stCxn id="49" idx="2"/>
          <a:endCxn id="912" idx="0"/>
        </xdr:cNvCxnSpPr>
      </xdr:nvCxnSpPr>
      <xdr:spPr>
        <a:xfrm rot="16200000" flipH="1">
          <a:off x="7480126" y="392001"/>
          <a:ext cx="480060" cy="2896458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562737</xdr:colOff>
      <xdr:row>15</xdr:row>
      <xdr:rowOff>21336</xdr:rowOff>
    </xdr:from>
    <xdr:to>
      <xdr:col>13</xdr:col>
      <xdr:colOff>376047</xdr:colOff>
      <xdr:row>18</xdr:row>
      <xdr:rowOff>36576</xdr:rowOff>
    </xdr:to>
    <xdr:sp macro="" textlink="">
      <xdr:nvSpPr>
        <xdr:cNvPr id="914" name="N_1.5.1">
          <a:extLst>
            <a:ext uri="{FF2B5EF4-FFF2-40B4-BE49-F238E27FC236}">
              <a16:creationId xmlns:a16="http://schemas.microsoft.com/office/drawing/2014/main" id="{F493D0F7-3BA7-4007-8D96-ABD098085C3B}"/>
            </a:ext>
          </a:extLst>
        </xdr:cNvPr>
        <xdr:cNvSpPr/>
      </xdr:nvSpPr>
      <xdr:spPr>
        <a:xfrm>
          <a:off x="9280017" y="2848356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5.1 Bestellung Komponenten
50%</a:t>
          </a:r>
        </a:p>
      </xdr:txBody>
    </xdr:sp>
    <xdr:clientData/>
  </xdr:twoCellAnchor>
  <xdr:twoCellAnchor>
    <xdr:from>
      <xdr:col>11</xdr:col>
      <xdr:colOff>451105</xdr:colOff>
      <xdr:row>14</xdr:row>
      <xdr:rowOff>76200</xdr:rowOff>
    </xdr:from>
    <xdr:to>
      <xdr:col>11</xdr:col>
      <xdr:colOff>562737</xdr:colOff>
      <xdr:row>16</xdr:row>
      <xdr:rowOff>120396</xdr:rowOff>
    </xdr:to>
    <xdr:cxnSp macro="">
      <xdr:nvCxnSpPr>
        <xdr:cNvPr id="915" name="N_1.5_1.5.1">
          <a:extLst>
            <a:ext uri="{FF2B5EF4-FFF2-40B4-BE49-F238E27FC236}">
              <a16:creationId xmlns:a16="http://schemas.microsoft.com/office/drawing/2014/main" id="{063C54C1-1E3F-4C5B-98BE-57BF843251D2}"/>
            </a:ext>
          </a:extLst>
        </xdr:cNvPr>
        <xdr:cNvCxnSpPr>
          <a:stCxn id="912" idx="2"/>
          <a:endCxn id="914" idx="1"/>
        </xdr:cNvCxnSpPr>
      </xdr:nvCxnSpPr>
      <xdr:spPr>
        <a:xfrm rot="16200000" flipH="1">
          <a:off x="9019223" y="2869502"/>
          <a:ext cx="409956" cy="111632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562737</xdr:colOff>
      <xdr:row>18</xdr:row>
      <xdr:rowOff>149352</xdr:rowOff>
    </xdr:from>
    <xdr:to>
      <xdr:col>13</xdr:col>
      <xdr:colOff>376047</xdr:colOff>
      <xdr:row>21</xdr:row>
      <xdr:rowOff>164592</xdr:rowOff>
    </xdr:to>
    <xdr:sp macro="" textlink="">
      <xdr:nvSpPr>
        <xdr:cNvPr id="916" name="N_1.5.2">
          <a:extLst>
            <a:ext uri="{FF2B5EF4-FFF2-40B4-BE49-F238E27FC236}">
              <a16:creationId xmlns:a16="http://schemas.microsoft.com/office/drawing/2014/main" id="{34352505-029D-4BF7-B2F3-733127B5B099}"/>
            </a:ext>
          </a:extLst>
        </xdr:cNvPr>
        <xdr:cNvSpPr/>
      </xdr:nvSpPr>
      <xdr:spPr>
        <a:xfrm>
          <a:off x="9280017" y="3525012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5.2 Aufbau
0%</a:t>
          </a:r>
        </a:p>
      </xdr:txBody>
    </xdr:sp>
    <xdr:clientData/>
  </xdr:twoCellAnchor>
  <xdr:twoCellAnchor>
    <xdr:from>
      <xdr:col>11</xdr:col>
      <xdr:colOff>451105</xdr:colOff>
      <xdr:row>14</xdr:row>
      <xdr:rowOff>76200</xdr:rowOff>
    </xdr:from>
    <xdr:to>
      <xdr:col>11</xdr:col>
      <xdr:colOff>562737</xdr:colOff>
      <xdr:row>20</xdr:row>
      <xdr:rowOff>65532</xdr:rowOff>
    </xdr:to>
    <xdr:cxnSp macro="">
      <xdr:nvCxnSpPr>
        <xdr:cNvPr id="917" name="N_1.5_1.5.2">
          <a:extLst>
            <a:ext uri="{FF2B5EF4-FFF2-40B4-BE49-F238E27FC236}">
              <a16:creationId xmlns:a16="http://schemas.microsoft.com/office/drawing/2014/main" id="{019826AC-8BFA-47A9-BF39-338A54955231}"/>
            </a:ext>
          </a:extLst>
        </xdr:cNvPr>
        <xdr:cNvCxnSpPr>
          <a:stCxn id="912" idx="2"/>
          <a:endCxn id="916" idx="1"/>
        </xdr:cNvCxnSpPr>
      </xdr:nvCxnSpPr>
      <xdr:spPr>
        <a:xfrm rot="16200000" flipH="1">
          <a:off x="8680895" y="3207830"/>
          <a:ext cx="1086612" cy="111632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562737</xdr:colOff>
      <xdr:row>22</xdr:row>
      <xdr:rowOff>94488</xdr:rowOff>
    </xdr:from>
    <xdr:to>
      <xdr:col>13</xdr:col>
      <xdr:colOff>376047</xdr:colOff>
      <xdr:row>25</xdr:row>
      <xdr:rowOff>109728</xdr:rowOff>
    </xdr:to>
    <xdr:sp macro="" textlink="">
      <xdr:nvSpPr>
        <xdr:cNvPr id="918" name="N_1.5.3">
          <a:extLst>
            <a:ext uri="{FF2B5EF4-FFF2-40B4-BE49-F238E27FC236}">
              <a16:creationId xmlns:a16="http://schemas.microsoft.com/office/drawing/2014/main" id="{A59D9FA5-A956-4095-8690-0BE6114C5284}"/>
            </a:ext>
          </a:extLst>
        </xdr:cNvPr>
        <xdr:cNvSpPr/>
      </xdr:nvSpPr>
      <xdr:spPr>
        <a:xfrm>
          <a:off x="9280017" y="4201668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5.3 Testbetrieb
0%</a:t>
          </a:r>
        </a:p>
      </xdr:txBody>
    </xdr:sp>
    <xdr:clientData/>
  </xdr:twoCellAnchor>
  <xdr:twoCellAnchor>
    <xdr:from>
      <xdr:col>11</xdr:col>
      <xdr:colOff>451105</xdr:colOff>
      <xdr:row>14</xdr:row>
      <xdr:rowOff>76200</xdr:rowOff>
    </xdr:from>
    <xdr:to>
      <xdr:col>11</xdr:col>
      <xdr:colOff>562737</xdr:colOff>
      <xdr:row>24</xdr:row>
      <xdr:rowOff>10668</xdr:rowOff>
    </xdr:to>
    <xdr:cxnSp macro="">
      <xdr:nvCxnSpPr>
        <xdr:cNvPr id="919" name="N_1.5_1.5.3">
          <a:extLst>
            <a:ext uri="{FF2B5EF4-FFF2-40B4-BE49-F238E27FC236}">
              <a16:creationId xmlns:a16="http://schemas.microsoft.com/office/drawing/2014/main" id="{20D539BD-4C96-4F4C-9111-2DAAF7C9F79C}"/>
            </a:ext>
          </a:extLst>
        </xdr:cNvPr>
        <xdr:cNvCxnSpPr>
          <a:stCxn id="912" idx="2"/>
          <a:endCxn id="918" idx="1"/>
        </xdr:cNvCxnSpPr>
      </xdr:nvCxnSpPr>
      <xdr:spPr>
        <a:xfrm rot="16200000" flipH="1">
          <a:off x="8342567" y="3546158"/>
          <a:ext cx="1763268" cy="111632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562737</xdr:colOff>
      <xdr:row>26</xdr:row>
      <xdr:rowOff>39624</xdr:rowOff>
    </xdr:from>
    <xdr:to>
      <xdr:col>13</xdr:col>
      <xdr:colOff>376047</xdr:colOff>
      <xdr:row>29</xdr:row>
      <xdr:rowOff>54864</xdr:rowOff>
    </xdr:to>
    <xdr:sp macro="" textlink="">
      <xdr:nvSpPr>
        <xdr:cNvPr id="920" name="N_1.5.4">
          <a:extLst>
            <a:ext uri="{FF2B5EF4-FFF2-40B4-BE49-F238E27FC236}">
              <a16:creationId xmlns:a16="http://schemas.microsoft.com/office/drawing/2014/main" id="{E8BD37B1-CDA2-478D-8ED4-E87B8B633248}"/>
            </a:ext>
          </a:extLst>
        </xdr:cNvPr>
        <xdr:cNvSpPr/>
      </xdr:nvSpPr>
      <xdr:spPr>
        <a:xfrm>
          <a:off x="9280017" y="4878324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5.4 Optimierung
0%</a:t>
          </a:r>
        </a:p>
      </xdr:txBody>
    </xdr:sp>
    <xdr:clientData/>
  </xdr:twoCellAnchor>
  <xdr:twoCellAnchor>
    <xdr:from>
      <xdr:col>11</xdr:col>
      <xdr:colOff>451105</xdr:colOff>
      <xdr:row>14</xdr:row>
      <xdr:rowOff>76200</xdr:rowOff>
    </xdr:from>
    <xdr:to>
      <xdr:col>11</xdr:col>
      <xdr:colOff>562737</xdr:colOff>
      <xdr:row>27</xdr:row>
      <xdr:rowOff>138684</xdr:rowOff>
    </xdr:to>
    <xdr:cxnSp macro="">
      <xdr:nvCxnSpPr>
        <xdr:cNvPr id="921" name="N_1.5_1.5.4">
          <a:extLst>
            <a:ext uri="{FF2B5EF4-FFF2-40B4-BE49-F238E27FC236}">
              <a16:creationId xmlns:a16="http://schemas.microsoft.com/office/drawing/2014/main" id="{01392BB4-DEEF-4D0F-839B-E9E002834E87}"/>
            </a:ext>
          </a:extLst>
        </xdr:cNvPr>
        <xdr:cNvCxnSpPr>
          <a:stCxn id="912" idx="2"/>
          <a:endCxn id="920" idx="1"/>
        </xdr:cNvCxnSpPr>
      </xdr:nvCxnSpPr>
      <xdr:spPr>
        <a:xfrm rot="16200000" flipH="1">
          <a:off x="8004239" y="3884486"/>
          <a:ext cx="2439924" cy="111632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726948</xdr:colOff>
      <xdr:row>10</xdr:row>
      <xdr:rowOff>167640</xdr:rowOff>
    </xdr:from>
    <xdr:to>
      <xdr:col>14</xdr:col>
      <xdr:colOff>736473</xdr:colOff>
      <xdr:row>14</xdr:row>
      <xdr:rowOff>76200</xdr:rowOff>
    </xdr:to>
    <xdr:sp macro="'WorkPackage_Click &quot;N_1.6&quot;'" textlink="">
      <xdr:nvSpPr>
        <xdr:cNvPr id="922" name="N_1.6" descr="|.\6 Abschluss\Teilziele.xlsx||.\6 Abschluss\Teilkosten.xlsx">
          <a:extLst>
            <a:ext uri="{FF2B5EF4-FFF2-40B4-BE49-F238E27FC236}">
              <a16:creationId xmlns:a16="http://schemas.microsoft.com/office/drawing/2014/main" id="{6F89285C-6250-4FA4-8356-E586C48F587E}"/>
            </a:ext>
          </a:extLst>
        </xdr:cNvPr>
        <xdr:cNvSpPr/>
      </xdr:nvSpPr>
      <xdr:spPr>
        <a:xfrm>
          <a:off x="10236708" y="2080260"/>
          <a:ext cx="1594485" cy="6400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Abschluss</a:t>
          </a:r>
        </a:p>
      </xdr:txBody>
    </xdr:sp>
    <xdr:clientData/>
  </xdr:twoCellAnchor>
  <xdr:twoCellAnchor>
    <xdr:from>
      <xdr:col>7</xdr:col>
      <xdr:colOff>724567</xdr:colOff>
      <xdr:row>8</xdr:row>
      <xdr:rowOff>53340</xdr:rowOff>
    </xdr:from>
    <xdr:to>
      <xdr:col>13</xdr:col>
      <xdr:colOff>731711</xdr:colOff>
      <xdr:row>10</xdr:row>
      <xdr:rowOff>167640</xdr:rowOff>
    </xdr:to>
    <xdr:cxnSp macro="">
      <xdr:nvCxnSpPr>
        <xdr:cNvPr id="923" name="N_1_1.6">
          <a:extLst>
            <a:ext uri="{FF2B5EF4-FFF2-40B4-BE49-F238E27FC236}">
              <a16:creationId xmlns:a16="http://schemas.microsoft.com/office/drawing/2014/main" id="{65EB1EC4-A1ED-43AD-9F5F-17AB0941C883}"/>
            </a:ext>
          </a:extLst>
        </xdr:cNvPr>
        <xdr:cNvCxnSpPr>
          <a:stCxn id="49" idx="2"/>
          <a:endCxn id="922" idx="0"/>
        </xdr:cNvCxnSpPr>
      </xdr:nvCxnSpPr>
      <xdr:spPr>
        <a:xfrm rot="16200000" flipH="1">
          <a:off x="8412909" y="-540782"/>
          <a:ext cx="480060" cy="4762024"/>
        </a:xfrm>
        <a:prstGeom prst="bentConnector3">
          <a:avLst>
            <a:gd name="adj1" fmla="val 50000"/>
          </a:avLst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50863</xdr:colOff>
      <xdr:row>15</xdr:row>
      <xdr:rowOff>21336</xdr:rowOff>
    </xdr:from>
    <xdr:to>
      <xdr:col>15</xdr:col>
      <xdr:colOff>656653</xdr:colOff>
      <xdr:row>18</xdr:row>
      <xdr:rowOff>36576</xdr:rowOff>
    </xdr:to>
    <xdr:sp macro="" textlink="">
      <xdr:nvSpPr>
        <xdr:cNvPr id="924" name="N_1.6.1">
          <a:extLst>
            <a:ext uri="{FF2B5EF4-FFF2-40B4-BE49-F238E27FC236}">
              <a16:creationId xmlns:a16="http://schemas.microsoft.com/office/drawing/2014/main" id="{7A9471FA-73E3-432E-B29A-6CB015C1C4B8}"/>
            </a:ext>
          </a:extLst>
        </xdr:cNvPr>
        <xdr:cNvSpPr/>
      </xdr:nvSpPr>
      <xdr:spPr>
        <a:xfrm>
          <a:off x="11145583" y="2848356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6.1 Lessons learned
0%</a:t>
          </a:r>
        </a:p>
      </xdr:txBody>
    </xdr:sp>
    <xdr:clientData/>
  </xdr:twoCellAnchor>
  <xdr:twoCellAnchor>
    <xdr:from>
      <xdr:col>13</xdr:col>
      <xdr:colOff>731711</xdr:colOff>
      <xdr:row>14</xdr:row>
      <xdr:rowOff>76200</xdr:rowOff>
    </xdr:from>
    <xdr:to>
      <xdr:col>14</xdr:col>
      <xdr:colOff>50863</xdr:colOff>
      <xdr:row>16</xdr:row>
      <xdr:rowOff>120396</xdr:rowOff>
    </xdr:to>
    <xdr:cxnSp macro="">
      <xdr:nvCxnSpPr>
        <xdr:cNvPr id="925" name="N_1.6_1.6.1">
          <a:extLst>
            <a:ext uri="{FF2B5EF4-FFF2-40B4-BE49-F238E27FC236}">
              <a16:creationId xmlns:a16="http://schemas.microsoft.com/office/drawing/2014/main" id="{46B21106-FED5-4EB1-AB27-81ED41A866AC}"/>
            </a:ext>
          </a:extLst>
        </xdr:cNvPr>
        <xdr:cNvCxnSpPr>
          <a:stCxn id="922" idx="2"/>
          <a:endCxn id="924" idx="1"/>
        </xdr:cNvCxnSpPr>
      </xdr:nvCxnSpPr>
      <xdr:spPr>
        <a:xfrm rot="16200000" flipH="1">
          <a:off x="10884789" y="2869502"/>
          <a:ext cx="409956" cy="111632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50863</xdr:colOff>
      <xdr:row>18</xdr:row>
      <xdr:rowOff>149352</xdr:rowOff>
    </xdr:from>
    <xdr:to>
      <xdr:col>15</xdr:col>
      <xdr:colOff>656653</xdr:colOff>
      <xdr:row>21</xdr:row>
      <xdr:rowOff>164592</xdr:rowOff>
    </xdr:to>
    <xdr:sp macro="" textlink="">
      <xdr:nvSpPr>
        <xdr:cNvPr id="926" name="N_1.6.2">
          <a:extLst>
            <a:ext uri="{FF2B5EF4-FFF2-40B4-BE49-F238E27FC236}">
              <a16:creationId xmlns:a16="http://schemas.microsoft.com/office/drawing/2014/main" id="{81385206-961D-41C9-BA0A-3E89D249AF4A}"/>
            </a:ext>
          </a:extLst>
        </xdr:cNvPr>
        <xdr:cNvSpPr/>
      </xdr:nvSpPr>
      <xdr:spPr>
        <a:xfrm>
          <a:off x="11145583" y="3525012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6.2 Abschlussbericht
0%</a:t>
          </a:r>
        </a:p>
      </xdr:txBody>
    </xdr:sp>
    <xdr:clientData/>
  </xdr:twoCellAnchor>
  <xdr:twoCellAnchor>
    <xdr:from>
      <xdr:col>13</xdr:col>
      <xdr:colOff>731711</xdr:colOff>
      <xdr:row>14</xdr:row>
      <xdr:rowOff>76200</xdr:rowOff>
    </xdr:from>
    <xdr:to>
      <xdr:col>14</xdr:col>
      <xdr:colOff>50863</xdr:colOff>
      <xdr:row>20</xdr:row>
      <xdr:rowOff>65532</xdr:rowOff>
    </xdr:to>
    <xdr:cxnSp macro="">
      <xdr:nvCxnSpPr>
        <xdr:cNvPr id="927" name="N_1.6_1.6.2">
          <a:extLst>
            <a:ext uri="{FF2B5EF4-FFF2-40B4-BE49-F238E27FC236}">
              <a16:creationId xmlns:a16="http://schemas.microsoft.com/office/drawing/2014/main" id="{E2066693-3433-49B5-9FAF-F1D7748FBBFC}"/>
            </a:ext>
          </a:extLst>
        </xdr:cNvPr>
        <xdr:cNvCxnSpPr>
          <a:stCxn id="922" idx="2"/>
          <a:endCxn id="926" idx="1"/>
        </xdr:cNvCxnSpPr>
      </xdr:nvCxnSpPr>
      <xdr:spPr>
        <a:xfrm rot="16200000" flipH="1">
          <a:off x="10546461" y="3207830"/>
          <a:ext cx="1086612" cy="111632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techpluscode.de/tag/WBS/" TargetMode="External"/><Relationship Id="rId1" Type="http://schemas.openxmlformats.org/officeDocument/2006/relationships/hyperlink" Target="https://techpluscode.de/tag/PSP/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1:F26"/>
  <sheetViews>
    <sheetView topLeftCell="A4" workbookViewId="0">
      <selection activeCell="D16" sqref="D16"/>
    </sheetView>
  </sheetViews>
  <sheetFormatPr baseColWidth="10" defaultColWidth="11.5546875" defaultRowHeight="14.4" x14ac:dyDescent="0.3"/>
  <cols>
    <col min="1" max="3" width="11.5546875" style="45"/>
    <col min="4" max="4" width="11.5546875" style="52"/>
    <col min="5" max="16384" width="11.5546875" style="45"/>
  </cols>
  <sheetData>
    <row r="1" spans="1:6" x14ac:dyDescent="0.3">
      <c r="B1" s="46" t="s">
        <v>142</v>
      </c>
      <c r="C1" s="46" t="s">
        <v>143</v>
      </c>
      <c r="D1" s="47" t="s">
        <v>144</v>
      </c>
      <c r="E1" s="46" t="s">
        <v>59</v>
      </c>
      <c r="F1" s="46" t="s">
        <v>145</v>
      </c>
    </row>
    <row r="2" spans="1:6" ht="57.6" x14ac:dyDescent="0.3">
      <c r="A2" s="45">
        <v>1</v>
      </c>
      <c r="B2" s="47" t="s">
        <v>79</v>
      </c>
      <c r="C2" s="47"/>
      <c r="D2" s="47"/>
      <c r="E2" s="46"/>
      <c r="F2" s="46"/>
    </row>
    <row r="3" spans="1:6" ht="43.2" x14ac:dyDescent="0.3">
      <c r="A3" s="45" t="str">
        <f t="shared" ref="A3:A24" si="0">"1."&amp;D3</f>
        <v>1.2</v>
      </c>
      <c r="B3" s="37" t="s">
        <v>80</v>
      </c>
      <c r="C3" s="37"/>
      <c r="D3" s="38" t="s">
        <v>46</v>
      </c>
      <c r="E3" s="37" t="s">
        <v>81</v>
      </c>
      <c r="F3" s="37" t="s">
        <v>81</v>
      </c>
    </row>
    <row r="4" spans="1:6" ht="28.8" x14ac:dyDescent="0.3">
      <c r="A4" s="45" t="str">
        <f t="shared" si="0"/>
        <v>1.2.1</v>
      </c>
      <c r="B4" s="37" t="s">
        <v>82</v>
      </c>
      <c r="C4" s="37"/>
      <c r="D4" s="38" t="s">
        <v>83</v>
      </c>
      <c r="E4" s="37" t="s">
        <v>81</v>
      </c>
      <c r="F4" s="37" t="s">
        <v>81</v>
      </c>
    </row>
    <row r="5" spans="1:6" ht="28.8" x14ac:dyDescent="0.3">
      <c r="A5" s="45" t="str">
        <f t="shared" si="0"/>
        <v>1.2.2</v>
      </c>
      <c r="B5" s="48" t="s">
        <v>84</v>
      </c>
      <c r="C5" s="48"/>
      <c r="D5" s="49" t="s">
        <v>85</v>
      </c>
      <c r="E5" s="48" t="s">
        <v>81</v>
      </c>
      <c r="F5" s="48" t="s">
        <v>81</v>
      </c>
    </row>
    <row r="6" spans="1:6" ht="28.8" x14ac:dyDescent="0.3">
      <c r="A6" s="45" t="str">
        <f t="shared" si="0"/>
        <v>1.2.3</v>
      </c>
      <c r="B6" s="39" t="s">
        <v>86</v>
      </c>
      <c r="C6" s="39"/>
      <c r="D6" s="40" t="s">
        <v>87</v>
      </c>
      <c r="E6" s="39" t="s">
        <v>81</v>
      </c>
      <c r="F6" s="39" t="s">
        <v>81</v>
      </c>
    </row>
    <row r="7" spans="1:6" ht="28.8" x14ac:dyDescent="0.3">
      <c r="A7" s="45" t="str">
        <f t="shared" si="0"/>
        <v>1.3</v>
      </c>
      <c r="B7" s="37" t="s">
        <v>88</v>
      </c>
      <c r="C7" s="37"/>
      <c r="D7" s="38" t="s">
        <v>47</v>
      </c>
      <c r="E7" s="37" t="s">
        <v>89</v>
      </c>
      <c r="F7" s="37" t="s">
        <v>90</v>
      </c>
    </row>
    <row r="8" spans="1:6" ht="28.8" x14ac:dyDescent="0.3">
      <c r="A8" s="45" t="str">
        <f t="shared" si="0"/>
        <v>1.3.1</v>
      </c>
      <c r="B8" s="48" t="s">
        <v>91</v>
      </c>
      <c r="C8" s="48"/>
      <c r="D8" s="49" t="s">
        <v>48</v>
      </c>
      <c r="E8" s="48" t="s">
        <v>89</v>
      </c>
      <c r="F8" s="48" t="s">
        <v>89</v>
      </c>
    </row>
    <row r="9" spans="1:6" ht="28.8" x14ac:dyDescent="0.3">
      <c r="A9" s="45" t="str">
        <f t="shared" si="0"/>
        <v>1.3.2</v>
      </c>
      <c r="B9" s="39" t="s">
        <v>92</v>
      </c>
      <c r="C9" s="39"/>
      <c r="D9" s="40" t="s">
        <v>49</v>
      </c>
      <c r="E9" s="39" t="s">
        <v>90</v>
      </c>
      <c r="F9" s="39" t="s">
        <v>90</v>
      </c>
    </row>
    <row r="10" spans="1:6" ht="28.8" x14ac:dyDescent="0.3">
      <c r="A10" s="45" t="str">
        <f t="shared" si="0"/>
        <v>1.4</v>
      </c>
      <c r="B10" s="37" t="s">
        <v>93</v>
      </c>
      <c r="C10" s="37"/>
      <c r="D10" s="38" t="s">
        <v>50</v>
      </c>
      <c r="E10" s="37" t="s">
        <v>94</v>
      </c>
      <c r="F10" s="37" t="s">
        <v>95</v>
      </c>
    </row>
    <row r="11" spans="1:6" ht="43.2" x14ac:dyDescent="0.3">
      <c r="A11" s="45" t="str">
        <f t="shared" si="0"/>
        <v>1.4.1</v>
      </c>
      <c r="B11" s="39" t="s">
        <v>96</v>
      </c>
      <c r="C11" s="39"/>
      <c r="D11" s="40" t="s">
        <v>51</v>
      </c>
      <c r="E11" s="39" t="s">
        <v>94</v>
      </c>
      <c r="F11" s="39" t="s">
        <v>97</v>
      </c>
    </row>
    <row r="12" spans="1:6" ht="43.2" x14ac:dyDescent="0.3">
      <c r="A12" s="45" t="str">
        <f t="shared" si="0"/>
        <v>1.4.2</v>
      </c>
      <c r="B12" s="37" t="s">
        <v>98</v>
      </c>
      <c r="C12" s="37"/>
      <c r="D12" s="38" t="s">
        <v>52</v>
      </c>
      <c r="E12" s="37" t="s">
        <v>99</v>
      </c>
      <c r="F12" s="37" t="s">
        <v>100</v>
      </c>
    </row>
    <row r="13" spans="1:6" ht="43.2" x14ac:dyDescent="0.3">
      <c r="A13" s="45" t="str">
        <f t="shared" si="0"/>
        <v>1.4.3</v>
      </c>
      <c r="B13" s="37" t="s">
        <v>101</v>
      </c>
      <c r="C13" s="37"/>
      <c r="D13" s="38" t="s">
        <v>53</v>
      </c>
      <c r="E13" s="37" t="s">
        <v>102</v>
      </c>
      <c r="F13" s="37" t="s">
        <v>95</v>
      </c>
    </row>
    <row r="14" spans="1:6" ht="28.8" x14ac:dyDescent="0.3">
      <c r="A14" s="45" t="str">
        <f t="shared" si="0"/>
        <v>1.4.3.1</v>
      </c>
      <c r="B14" s="37" t="s">
        <v>104</v>
      </c>
      <c r="C14" s="37"/>
      <c r="D14" s="38" t="s">
        <v>105</v>
      </c>
      <c r="E14" s="37" t="s">
        <v>102</v>
      </c>
      <c r="F14" s="37" t="s">
        <v>106</v>
      </c>
    </row>
    <row r="15" spans="1:6" x14ac:dyDescent="0.3">
      <c r="A15" s="45" t="str">
        <f t="shared" si="0"/>
        <v>1.4.3.2</v>
      </c>
      <c r="B15" s="48" t="s">
        <v>108</v>
      </c>
      <c r="C15" s="48"/>
      <c r="D15" s="49" t="s">
        <v>109</v>
      </c>
      <c r="E15" s="48" t="s">
        <v>110</v>
      </c>
      <c r="F15" s="48" t="s">
        <v>111</v>
      </c>
    </row>
    <row r="16" spans="1:6" ht="28.8" x14ac:dyDescent="0.3">
      <c r="A16" s="45" t="str">
        <f t="shared" si="0"/>
        <v>1.4.3.3</v>
      </c>
      <c r="B16" s="39" t="s">
        <v>113</v>
      </c>
      <c r="C16" s="39"/>
      <c r="D16" s="40" t="s">
        <v>114</v>
      </c>
      <c r="E16" s="39" t="s">
        <v>115</v>
      </c>
      <c r="F16" s="39" t="s">
        <v>95</v>
      </c>
    </row>
    <row r="17" spans="1:6" x14ac:dyDescent="0.3">
      <c r="A17" s="45" t="str">
        <f t="shared" si="0"/>
        <v>1.5</v>
      </c>
      <c r="B17" s="37" t="s">
        <v>116</v>
      </c>
      <c r="C17" s="37"/>
      <c r="D17" s="38" t="s">
        <v>54</v>
      </c>
      <c r="E17" s="37" t="s">
        <v>117</v>
      </c>
      <c r="F17" s="37" t="s">
        <v>118</v>
      </c>
    </row>
    <row r="18" spans="1:6" ht="43.2" x14ac:dyDescent="0.3">
      <c r="A18" s="45" t="str">
        <f t="shared" si="0"/>
        <v>1.5.1</v>
      </c>
      <c r="B18" s="37" t="s">
        <v>119</v>
      </c>
      <c r="C18" s="37"/>
      <c r="D18" s="38" t="s">
        <v>55</v>
      </c>
      <c r="E18" s="37" t="s">
        <v>117</v>
      </c>
      <c r="F18" s="37" t="s">
        <v>120</v>
      </c>
    </row>
    <row r="19" spans="1:6" x14ac:dyDescent="0.3">
      <c r="A19" s="45" t="str">
        <f t="shared" si="0"/>
        <v>1.5.2</v>
      </c>
      <c r="B19" s="37" t="s">
        <v>121</v>
      </c>
      <c r="C19" s="37"/>
      <c r="D19" s="38" t="s">
        <v>56</v>
      </c>
      <c r="E19" s="37" t="s">
        <v>122</v>
      </c>
      <c r="F19" s="37" t="s">
        <v>123</v>
      </c>
    </row>
    <row r="20" spans="1:6" x14ac:dyDescent="0.3">
      <c r="A20" s="45" t="str">
        <f t="shared" si="0"/>
        <v>1.5.3</v>
      </c>
      <c r="B20" s="48" t="s">
        <v>124</v>
      </c>
      <c r="C20" s="48"/>
      <c r="D20" s="49" t="s">
        <v>60</v>
      </c>
      <c r="E20" s="48" t="s">
        <v>125</v>
      </c>
      <c r="F20" s="48" t="s">
        <v>126</v>
      </c>
    </row>
    <row r="21" spans="1:6" ht="28.8" x14ac:dyDescent="0.3">
      <c r="A21" s="45" t="str">
        <f t="shared" si="0"/>
        <v>1.5.4</v>
      </c>
      <c r="B21" s="39" t="s">
        <v>128</v>
      </c>
      <c r="C21" s="39"/>
      <c r="D21" s="40" t="s">
        <v>129</v>
      </c>
      <c r="E21" s="39" t="s">
        <v>130</v>
      </c>
      <c r="F21" s="39" t="s">
        <v>118</v>
      </c>
    </row>
    <row r="22" spans="1:6" ht="28.8" x14ac:dyDescent="0.3">
      <c r="A22" s="45" t="str">
        <f t="shared" si="0"/>
        <v>1.6</v>
      </c>
      <c r="B22" s="37" t="s">
        <v>4</v>
      </c>
      <c r="C22" s="37"/>
      <c r="D22" s="38" t="s">
        <v>132</v>
      </c>
      <c r="E22" s="37" t="s">
        <v>133</v>
      </c>
      <c r="F22" s="37" t="s">
        <v>134</v>
      </c>
    </row>
    <row r="23" spans="1:6" x14ac:dyDescent="0.3">
      <c r="A23" s="45" t="str">
        <f t="shared" si="0"/>
        <v>1.6.1</v>
      </c>
      <c r="B23" s="50" t="s">
        <v>136</v>
      </c>
      <c r="C23" s="50"/>
      <c r="D23" s="51" t="s">
        <v>137</v>
      </c>
      <c r="E23" s="50" t="s">
        <v>133</v>
      </c>
      <c r="F23" s="50" t="s">
        <v>133</v>
      </c>
    </row>
    <row r="24" spans="1:6" x14ac:dyDescent="0.3">
      <c r="A24" s="45" t="str">
        <f t="shared" si="0"/>
        <v>1.6.2</v>
      </c>
      <c r="B24" s="50" t="s">
        <v>139</v>
      </c>
      <c r="C24" s="50"/>
      <c r="D24" s="51" t="s">
        <v>140</v>
      </c>
      <c r="E24" s="50" t="s">
        <v>134</v>
      </c>
      <c r="F24" s="50" t="s">
        <v>134</v>
      </c>
    </row>
    <row r="25" spans="1:6" x14ac:dyDescent="0.3">
      <c r="B25" s="41"/>
      <c r="C25" s="41"/>
      <c r="D25" s="42"/>
      <c r="E25" s="41"/>
      <c r="F25" s="41"/>
    </row>
    <row r="26" spans="1:6" x14ac:dyDescent="0.3">
      <c r="B26" s="41"/>
      <c r="C26" s="41"/>
      <c r="D26" s="42"/>
      <c r="E26" s="41"/>
      <c r="F26" s="41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R87"/>
  <sheetViews>
    <sheetView topLeftCell="F1" workbookViewId="0">
      <selection activeCell="N10" sqref="N10"/>
    </sheetView>
  </sheetViews>
  <sheetFormatPr baseColWidth="10" defaultColWidth="11.5546875" defaultRowHeight="13.2" x14ac:dyDescent="0.25"/>
  <cols>
    <col min="1" max="1" width="11.77734375" style="8" customWidth="1"/>
    <col min="2" max="2" width="31.44140625" style="7" customWidth="1"/>
    <col min="3" max="3" width="11.5546875" style="26"/>
    <col min="4" max="4" width="11.5546875" style="56"/>
    <col min="5" max="8" width="11.5546875" style="36"/>
    <col min="9" max="13" width="11.5546875" style="32"/>
    <col min="14" max="14" width="60.77734375" style="32" customWidth="1"/>
    <col min="15" max="15" width="11.5546875" style="5"/>
    <col min="16" max="16384" width="11.5546875" style="4"/>
  </cols>
  <sheetData>
    <row r="1" spans="1:18" ht="21" x14ac:dyDescent="0.4">
      <c r="A1" s="16" t="s">
        <v>19</v>
      </c>
      <c r="B1" s="4"/>
      <c r="C1" s="24"/>
      <c r="D1" s="55"/>
      <c r="E1" s="34"/>
      <c r="F1" s="34"/>
      <c r="G1" s="34"/>
      <c r="H1" s="34"/>
      <c r="I1" s="29"/>
      <c r="J1" s="29"/>
      <c r="K1" s="29"/>
      <c r="L1" s="29"/>
      <c r="M1" s="29"/>
      <c r="N1" s="29"/>
    </row>
    <row r="2" spans="1:18" ht="80.400000000000006" customHeight="1" x14ac:dyDescent="0.25">
      <c r="A2" s="59" t="s">
        <v>42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57"/>
    </row>
    <row r="3" spans="1:18" ht="25.2" customHeight="1" x14ac:dyDescent="0.25">
      <c r="A3" s="18"/>
      <c r="B3" s="19"/>
      <c r="C3" s="19"/>
      <c r="D3" s="54" t="s">
        <v>64</v>
      </c>
      <c r="E3" s="43" t="s">
        <v>150</v>
      </c>
      <c r="F3" s="43" t="s">
        <v>151</v>
      </c>
      <c r="G3" s="43" t="s">
        <v>146</v>
      </c>
      <c r="H3" s="43" t="s">
        <v>147</v>
      </c>
      <c r="I3" s="44" t="s">
        <v>148</v>
      </c>
      <c r="J3" s="44" t="s">
        <v>149</v>
      </c>
      <c r="K3" s="30" t="s">
        <v>58</v>
      </c>
      <c r="L3" s="30"/>
      <c r="M3" s="30"/>
      <c r="N3" s="30"/>
    </row>
    <row r="4" spans="1:18" x14ac:dyDescent="0.25">
      <c r="A4" s="1" t="s">
        <v>16</v>
      </c>
      <c r="B4" s="2" t="s">
        <v>0</v>
      </c>
      <c r="C4" s="25" t="s">
        <v>18</v>
      </c>
      <c r="D4" s="1" t="s">
        <v>21</v>
      </c>
      <c r="E4" s="35" t="s">
        <v>22</v>
      </c>
      <c r="F4" s="35" t="s">
        <v>23</v>
      </c>
      <c r="G4" s="35" t="s">
        <v>24</v>
      </c>
      <c r="H4" s="35" t="s">
        <v>25</v>
      </c>
      <c r="I4" s="31" t="s">
        <v>65</v>
      </c>
      <c r="J4" s="31" t="s">
        <v>66</v>
      </c>
      <c r="K4" s="31" t="s">
        <v>67</v>
      </c>
      <c r="L4" s="31" t="s">
        <v>68</v>
      </c>
      <c r="M4" s="31" t="s">
        <v>69</v>
      </c>
      <c r="N4" s="31" t="s">
        <v>205</v>
      </c>
      <c r="O4" s="6"/>
      <c r="P4" s="3" t="s">
        <v>14</v>
      </c>
      <c r="Q4" s="3" t="s">
        <v>15</v>
      </c>
      <c r="R4" s="3" t="s">
        <v>17</v>
      </c>
    </row>
    <row r="5" spans="1:18" x14ac:dyDescent="0.25">
      <c r="A5" s="8">
        <v>1</v>
      </c>
      <c r="B5" s="7" t="s">
        <v>141</v>
      </c>
      <c r="C5" s="26">
        <v>0.5</v>
      </c>
      <c r="D5" s="33"/>
      <c r="M5" s="33"/>
      <c r="N5" s="33" t="s">
        <v>206</v>
      </c>
      <c r="P5" s="4">
        <v>806.04000320434568</v>
      </c>
      <c r="Q5" s="4">
        <v>163.80000305175781</v>
      </c>
      <c r="R5" s="4">
        <v>6</v>
      </c>
    </row>
    <row r="6" spans="1:18" x14ac:dyDescent="0.25">
      <c r="A6" s="8" t="s">
        <v>188</v>
      </c>
      <c r="B6" s="7" t="s">
        <v>80</v>
      </c>
      <c r="C6" s="26">
        <v>0.5</v>
      </c>
      <c r="D6" s="33" t="str">
        <f>RIGHT(A6,LEN(A6)-2)</f>
        <v>1</v>
      </c>
      <c r="E6" s="36">
        <v>43850</v>
      </c>
      <c r="F6" s="36">
        <v>43850</v>
      </c>
      <c r="G6" s="36">
        <v>43850</v>
      </c>
      <c r="M6" s="33"/>
      <c r="N6" s="33" t="str">
        <f>"|.\" &amp;D6&amp;" " &amp;B6&amp;"\Teilziele.xlsx|"&amp;"|.\" &amp;D6&amp;" " &amp;B6&amp;"\Teilkosten.xlsx"</f>
        <v>|.\1 Projekt-Management\Teilziele.xlsx||.\1 Projekt-Management\Teilkosten.xlsx</v>
      </c>
      <c r="P6" s="4">
        <v>71.564999008178717</v>
      </c>
      <c r="Q6" s="4">
        <v>330.84000854492189</v>
      </c>
      <c r="R6" s="4">
        <v>3</v>
      </c>
    </row>
    <row r="7" spans="1:18" x14ac:dyDescent="0.25">
      <c r="A7" s="8" t="s">
        <v>189</v>
      </c>
      <c r="B7" s="7" t="s">
        <v>152</v>
      </c>
      <c r="C7" s="26">
        <v>1</v>
      </c>
      <c r="D7" s="33" t="str">
        <f t="shared" ref="D7:D28" si="0">RIGHT(A7,LEN(A7)-2)</f>
        <v>1.1</v>
      </c>
      <c r="E7" s="36">
        <v>43850</v>
      </c>
      <c r="F7" s="36">
        <v>43852</v>
      </c>
      <c r="G7" s="36">
        <v>43850</v>
      </c>
      <c r="H7" s="36">
        <v>43853</v>
      </c>
      <c r="I7" s="32">
        <v>4</v>
      </c>
      <c r="J7" s="32">
        <v>8</v>
      </c>
      <c r="M7" s="33"/>
      <c r="N7" s="58"/>
      <c r="P7" s="4">
        <v>71.564999008178717</v>
      </c>
      <c r="Q7" s="4">
        <v>224.28000488281251</v>
      </c>
      <c r="R7" s="4">
        <v>0</v>
      </c>
    </row>
    <row r="8" spans="1:18" x14ac:dyDescent="0.25">
      <c r="A8" s="8" t="s">
        <v>191</v>
      </c>
      <c r="B8" s="7" t="s">
        <v>153</v>
      </c>
      <c r="C8" s="26">
        <v>0.5</v>
      </c>
      <c r="D8" s="33" t="str">
        <f t="shared" si="0"/>
        <v>1.2</v>
      </c>
      <c r="E8" s="36">
        <v>43850</v>
      </c>
      <c r="F8" s="36">
        <v>43852</v>
      </c>
      <c r="G8" s="36">
        <v>43970</v>
      </c>
      <c r="I8" s="32">
        <v>16</v>
      </c>
      <c r="J8" s="32">
        <v>4</v>
      </c>
      <c r="M8" s="33"/>
      <c r="N8" s="33" t="s">
        <v>198</v>
      </c>
      <c r="P8" s="4">
        <v>71.564999008178717</v>
      </c>
      <c r="Q8" s="4">
        <v>277.56000671386721</v>
      </c>
      <c r="R8" s="4">
        <v>0</v>
      </c>
    </row>
    <row r="9" spans="1:18" x14ac:dyDescent="0.25">
      <c r="A9" s="8" t="s">
        <v>190</v>
      </c>
      <c r="B9" s="7" t="s">
        <v>154</v>
      </c>
      <c r="C9" s="26">
        <v>0.5</v>
      </c>
      <c r="D9" s="33" t="str">
        <f t="shared" si="0"/>
        <v>1.3</v>
      </c>
      <c r="E9" s="36">
        <v>43850</v>
      </c>
      <c r="F9" s="36">
        <v>43863</v>
      </c>
      <c r="G9" s="36">
        <v>43959</v>
      </c>
      <c r="I9" s="32">
        <v>8</v>
      </c>
      <c r="J9" s="32">
        <v>2</v>
      </c>
      <c r="M9" s="33"/>
      <c r="N9" s="33"/>
      <c r="P9" s="4">
        <v>71.564999008178717</v>
      </c>
      <c r="Q9" s="4">
        <v>330.84000854492189</v>
      </c>
      <c r="R9" s="4">
        <v>0</v>
      </c>
    </row>
    <row r="10" spans="1:18" x14ac:dyDescent="0.25">
      <c r="A10" s="8" t="s">
        <v>1</v>
      </c>
      <c r="B10" s="7" t="s">
        <v>88</v>
      </c>
      <c r="C10" s="26">
        <v>1</v>
      </c>
      <c r="D10" s="33" t="str">
        <f t="shared" si="0"/>
        <v>2</v>
      </c>
      <c r="E10" s="36">
        <v>43864</v>
      </c>
      <c r="G10" s="36">
        <v>43865</v>
      </c>
      <c r="M10" s="33"/>
      <c r="N10" s="33" t="str">
        <f>"|.\" &amp;D10&amp;" " &amp;B10&amp;"\Teilziele.xlsx|"&amp;"|.\" &amp;D10&amp;" " &amp;B10&amp;"\Teilkosten.xlsx"</f>
        <v>|.\2 Initialisierung\Teilziele.xlsx||.\2 Initialisierung\Teilkosten.xlsx</v>
      </c>
      <c r="P10" s="4">
        <v>146.8950008392334</v>
      </c>
      <c r="Q10" s="4">
        <v>163.80000305175781</v>
      </c>
      <c r="R10" s="4">
        <v>0</v>
      </c>
    </row>
    <row r="11" spans="1:18" x14ac:dyDescent="0.25">
      <c r="A11" s="8" t="s">
        <v>2</v>
      </c>
      <c r="B11" s="7" t="s">
        <v>155</v>
      </c>
      <c r="C11" s="26">
        <v>1</v>
      </c>
      <c r="D11" s="33" t="str">
        <f t="shared" si="0"/>
        <v>3</v>
      </c>
      <c r="E11" s="36">
        <v>43864</v>
      </c>
      <c r="F11" s="36">
        <v>43864</v>
      </c>
      <c r="G11" s="36">
        <v>43864</v>
      </c>
      <c r="H11" s="36">
        <v>43864</v>
      </c>
      <c r="I11" s="32">
        <v>4</v>
      </c>
      <c r="J11" s="32">
        <v>3</v>
      </c>
      <c r="M11" s="33"/>
      <c r="N11" s="33" t="str">
        <f>"|.\" &amp;D11&amp;" " &amp;B11&amp;"\Teilziele.xlsx|"&amp;"|.\" &amp;D11&amp;" " &amp;B11&amp;"\Teilkosten.xlsx"</f>
        <v>|.\3 Definition\Teilziele.xlsx||.\3 Definition\Teilkosten.xlsx</v>
      </c>
      <c r="P11" s="4">
        <v>365.3550006866455</v>
      </c>
      <c r="Q11" s="4">
        <v>277.56000671386721</v>
      </c>
      <c r="R11" s="4">
        <v>2</v>
      </c>
    </row>
    <row r="12" spans="1:18" x14ac:dyDescent="0.25">
      <c r="A12" s="8" t="s">
        <v>6</v>
      </c>
      <c r="B12" s="7" t="s">
        <v>156</v>
      </c>
      <c r="C12" s="26">
        <v>1</v>
      </c>
      <c r="D12" s="33" t="str">
        <f t="shared" si="0"/>
        <v>3.1</v>
      </c>
      <c r="E12" s="36">
        <v>43864</v>
      </c>
      <c r="F12" s="36">
        <v>43864</v>
      </c>
      <c r="G12" s="36">
        <v>43864</v>
      </c>
      <c r="H12" s="36">
        <v>43864</v>
      </c>
      <c r="I12" s="32">
        <v>4</v>
      </c>
      <c r="J12" s="32">
        <v>3</v>
      </c>
      <c r="M12" s="33"/>
      <c r="N12" s="33" t="s">
        <v>203</v>
      </c>
      <c r="P12" s="4">
        <v>365.3550006866455</v>
      </c>
      <c r="Q12" s="4">
        <v>224.28000488281251</v>
      </c>
      <c r="R12" s="4">
        <v>0</v>
      </c>
    </row>
    <row r="13" spans="1:18" x14ac:dyDescent="0.25">
      <c r="A13" s="8" t="s">
        <v>7</v>
      </c>
      <c r="B13" s="7" t="s">
        <v>192</v>
      </c>
      <c r="C13" s="26">
        <v>1</v>
      </c>
      <c r="D13" s="33" t="str">
        <f t="shared" si="0"/>
        <v>3.2</v>
      </c>
      <c r="E13" s="36">
        <v>43865</v>
      </c>
      <c r="F13" s="36">
        <v>43864</v>
      </c>
      <c r="G13" s="36">
        <v>43865</v>
      </c>
      <c r="H13" s="36">
        <v>43864</v>
      </c>
      <c r="I13" s="32">
        <v>2</v>
      </c>
      <c r="J13" s="32">
        <v>3</v>
      </c>
      <c r="M13" s="33"/>
      <c r="N13" s="33"/>
      <c r="P13" s="4">
        <v>365.3550006866455</v>
      </c>
      <c r="Q13" s="4">
        <v>277.56000671386721</v>
      </c>
      <c r="R13" s="4">
        <v>0</v>
      </c>
    </row>
    <row r="14" spans="1:18" x14ac:dyDescent="0.25">
      <c r="A14" s="8" t="s">
        <v>3</v>
      </c>
      <c r="B14" s="7" t="s">
        <v>93</v>
      </c>
      <c r="C14" s="26">
        <v>0.5</v>
      </c>
      <c r="D14" s="33" t="str">
        <f t="shared" si="0"/>
        <v>4</v>
      </c>
      <c r="E14" s="36">
        <v>43866</v>
      </c>
      <c r="G14" s="36">
        <v>43948</v>
      </c>
      <c r="M14" s="33"/>
      <c r="N14" s="33" t="str">
        <f>"|.\" &amp;D14&amp;" " &amp;B14&amp;"\Teilziele.xlsx|"&amp;"|.\" &amp;D14&amp;" " &amp;B14&amp;"\Teilkosten.xlsx"</f>
        <v>|.\4 Planung\Teilziele.xlsx||.\4 Planung\Teilkosten.xlsx</v>
      </c>
      <c r="P14" s="4">
        <v>512.25000152587893</v>
      </c>
      <c r="Q14" s="4">
        <v>490.68001403808591</v>
      </c>
      <c r="R14" s="4">
        <v>3</v>
      </c>
    </row>
    <row r="15" spans="1:18" x14ac:dyDescent="0.25">
      <c r="A15" s="8" t="s">
        <v>8</v>
      </c>
      <c r="B15" s="7" t="s">
        <v>157</v>
      </c>
      <c r="C15" s="26">
        <v>1</v>
      </c>
      <c r="D15" s="33" t="str">
        <f t="shared" si="0"/>
        <v>4.1</v>
      </c>
      <c r="E15" s="36">
        <v>43866</v>
      </c>
      <c r="F15" s="36">
        <v>43865</v>
      </c>
      <c r="G15" s="36">
        <v>43872</v>
      </c>
      <c r="H15" s="36">
        <v>43872</v>
      </c>
      <c r="I15" s="32">
        <v>35</v>
      </c>
      <c r="J15" s="32">
        <v>37</v>
      </c>
      <c r="M15" s="33"/>
      <c r="N15" s="33" t="str">
        <f>"|.\"&amp;$D$14&amp;" "&amp;$B$14&amp;"\Arbeitspakete\"&amp;D15 &amp;" " &amp;B15&amp;"\Arbeitspaket.docx"</f>
        <v>|.\4 Planung\Arbeitspakete\4.1 Arbeitsablauf\Arbeitspaket.docx</v>
      </c>
      <c r="P15" s="4">
        <v>512.25000152587893</v>
      </c>
      <c r="Q15" s="4">
        <v>490.68001403808591</v>
      </c>
      <c r="R15" s="4">
        <v>3</v>
      </c>
    </row>
    <row r="16" spans="1:18" x14ac:dyDescent="0.25">
      <c r="A16" s="8" t="s">
        <v>9</v>
      </c>
      <c r="B16" s="7" t="s">
        <v>158</v>
      </c>
      <c r="C16" s="26">
        <v>1</v>
      </c>
      <c r="D16" s="33" t="str">
        <f t="shared" si="0"/>
        <v>4.2</v>
      </c>
      <c r="E16" s="36">
        <v>43873</v>
      </c>
      <c r="F16" s="36">
        <v>43873</v>
      </c>
      <c r="G16" s="36">
        <v>43886</v>
      </c>
      <c r="H16" s="36">
        <v>43884</v>
      </c>
      <c r="I16" s="32">
        <v>70</v>
      </c>
      <c r="J16" s="32">
        <v>78</v>
      </c>
      <c r="M16" s="33"/>
      <c r="N16" s="33" t="str">
        <f>"|.\"&amp;$D$14&amp;" "&amp;$B$14&amp;"\Arbeitspakete\"&amp;D16 &amp;" " &amp;B16&amp;"\Arbeitspaket.docx"</f>
        <v>|.\4 Planung\Arbeitspakete\4.2 Arbeitsplatzgestaltung\Arbeitspaket.docx</v>
      </c>
      <c r="P16" s="4">
        <v>512.25000152587893</v>
      </c>
      <c r="Q16" s="4">
        <v>490.68001403808591</v>
      </c>
      <c r="R16" s="4">
        <v>3</v>
      </c>
    </row>
    <row r="17" spans="1:18" x14ac:dyDescent="0.25">
      <c r="A17" s="8" t="s">
        <v>10</v>
      </c>
      <c r="B17" s="7" t="s">
        <v>159</v>
      </c>
      <c r="C17" s="26">
        <v>0.5</v>
      </c>
      <c r="D17" s="33" t="str">
        <f t="shared" si="0"/>
        <v>4.3</v>
      </c>
      <c r="E17" s="36">
        <v>43887</v>
      </c>
      <c r="G17" s="36">
        <v>43948</v>
      </c>
      <c r="M17" s="33"/>
      <c r="N17" s="33"/>
      <c r="P17" s="4">
        <v>583.81500053405762</v>
      </c>
      <c r="Q17" s="4">
        <v>490.68001403808591</v>
      </c>
      <c r="R17" s="4">
        <v>3</v>
      </c>
    </row>
    <row r="18" spans="1:18" x14ac:dyDescent="0.25">
      <c r="A18" s="8" t="s">
        <v>103</v>
      </c>
      <c r="B18" s="7" t="s">
        <v>160</v>
      </c>
      <c r="C18" s="26">
        <v>1</v>
      </c>
      <c r="D18" s="33" t="str">
        <f t="shared" si="0"/>
        <v>4.3.1</v>
      </c>
      <c r="E18" s="36">
        <v>43887</v>
      </c>
      <c r="F18" s="36">
        <v>43886</v>
      </c>
      <c r="G18" s="36">
        <v>43888</v>
      </c>
      <c r="H18" s="36">
        <v>43887</v>
      </c>
      <c r="I18" s="32">
        <v>8</v>
      </c>
      <c r="J18" s="32">
        <v>8</v>
      </c>
      <c r="M18" s="33"/>
      <c r="N18" s="33" t="str">
        <f>"|.\"&amp;$D$14&amp;" "&amp;$B$14&amp;"\Arbeitspakete\"&amp;D18 &amp;" " &amp;B18&amp;"\Arbeitspaket.docx"</f>
        <v>|.\4 Planung\Arbeitspakete\4.3.1 Lastenheft\Arbeitspaket.docx</v>
      </c>
      <c r="P18" s="4">
        <v>583.81500053405762</v>
      </c>
      <c r="Q18" s="4">
        <v>490.68001403808591</v>
      </c>
      <c r="R18" s="4">
        <v>3</v>
      </c>
    </row>
    <row r="19" spans="1:18" x14ac:dyDescent="0.25">
      <c r="A19" s="8" t="s">
        <v>107</v>
      </c>
      <c r="B19" s="7" t="s">
        <v>161</v>
      </c>
      <c r="C19" s="26">
        <v>0.5</v>
      </c>
      <c r="D19" s="33" t="str">
        <f t="shared" si="0"/>
        <v>4.3.2</v>
      </c>
      <c r="E19" s="36">
        <v>43889</v>
      </c>
      <c r="F19" s="36">
        <v>43889</v>
      </c>
      <c r="G19" s="36">
        <v>43944</v>
      </c>
      <c r="H19" s="36">
        <v>43936</v>
      </c>
      <c r="I19" s="32">
        <v>12</v>
      </c>
      <c r="J19" s="32">
        <v>6</v>
      </c>
      <c r="M19" s="33"/>
      <c r="N19" s="33" t="str">
        <f>"|.\"&amp;$D$14&amp;" "&amp;$B$14&amp;"\Arbeitspakete\"&amp;D19 &amp;" " &amp;B19&amp;"\Arbeitspaket.docx"</f>
        <v>|.\4 Planung\Arbeitspakete\4.3.2 Anfragen\Arbeitspaket.docx</v>
      </c>
      <c r="P19" s="4">
        <v>583.81500053405762</v>
      </c>
      <c r="Q19" s="4">
        <v>490.68001403808591</v>
      </c>
      <c r="R19" s="4">
        <v>3</v>
      </c>
    </row>
    <row r="20" spans="1:18" x14ac:dyDescent="0.25">
      <c r="A20" s="8" t="s">
        <v>112</v>
      </c>
      <c r="B20" s="7" t="s">
        <v>162</v>
      </c>
      <c r="C20" s="26">
        <v>0</v>
      </c>
      <c r="D20" s="33" t="str">
        <f t="shared" si="0"/>
        <v>4.3.3</v>
      </c>
      <c r="E20" s="36">
        <v>43945</v>
      </c>
      <c r="G20" s="36">
        <v>43948</v>
      </c>
      <c r="I20" s="32">
        <v>8</v>
      </c>
      <c r="M20" s="33"/>
      <c r="N20" s="33" t="str">
        <f>"|.\"&amp;$D$14&amp;" "&amp;$B$14&amp;"\Arbeitspakete\"&amp;D20 &amp;" " &amp;B20&amp;"\Arbeitspaket.docx"</f>
        <v>|.\4 Planung\Arbeitspakete\4.3.3 Vergleich\Arbeitspaket.docx</v>
      </c>
      <c r="P20" s="4">
        <v>583.81500053405762</v>
      </c>
      <c r="Q20" s="4">
        <v>490.68001403808591</v>
      </c>
      <c r="R20" s="4">
        <v>0</v>
      </c>
    </row>
    <row r="21" spans="1:18" x14ac:dyDescent="0.25">
      <c r="A21" s="8" t="s">
        <v>5</v>
      </c>
      <c r="B21" s="7" t="s">
        <v>116</v>
      </c>
      <c r="C21" s="26">
        <v>0.5</v>
      </c>
      <c r="D21" s="33" t="str">
        <f t="shared" si="0"/>
        <v>5</v>
      </c>
      <c r="E21" s="36">
        <v>43949</v>
      </c>
      <c r="G21" s="36">
        <v>43970</v>
      </c>
      <c r="M21" s="33"/>
      <c r="N21" s="33" t="str">
        <f>"|.\" &amp;D21&amp;" " &amp;B21&amp;"\Teilziele.xlsx|"&amp;"|.\" &amp;D21&amp;" " &amp;B21&amp;"\Teilkosten.xlsx"</f>
        <v>|.\5 Realisierung\Teilziele.xlsx||.\5 Realisierung\Teilkosten.xlsx</v>
      </c>
      <c r="P21" s="4">
        <v>730.71000137329099</v>
      </c>
      <c r="Q21" s="4">
        <v>384.12001037597656</v>
      </c>
      <c r="R21" s="4">
        <v>4</v>
      </c>
    </row>
    <row r="22" spans="1:18" x14ac:dyDescent="0.25">
      <c r="A22" s="8" t="s">
        <v>11</v>
      </c>
      <c r="B22" s="7" t="s">
        <v>163</v>
      </c>
      <c r="C22" s="26">
        <v>0.5</v>
      </c>
      <c r="D22" s="33" t="str">
        <f t="shared" si="0"/>
        <v>5.1</v>
      </c>
      <c r="E22" s="36">
        <v>43949</v>
      </c>
      <c r="G22" s="36">
        <v>43950</v>
      </c>
      <c r="I22" s="32">
        <v>12</v>
      </c>
      <c r="M22" s="33"/>
      <c r="N22" s="33"/>
      <c r="P22" s="4">
        <v>730.71000137329099</v>
      </c>
      <c r="Q22" s="4">
        <v>224.28000488281251</v>
      </c>
      <c r="R22" s="4">
        <v>0</v>
      </c>
    </row>
    <row r="23" spans="1:18" x14ac:dyDescent="0.25">
      <c r="A23" s="8" t="s">
        <v>12</v>
      </c>
      <c r="B23" s="7" t="s">
        <v>164</v>
      </c>
      <c r="C23" s="26">
        <v>0</v>
      </c>
      <c r="D23" s="33" t="str">
        <f t="shared" si="0"/>
        <v>5.2</v>
      </c>
      <c r="E23" s="36">
        <v>43951</v>
      </c>
      <c r="F23" s="36">
        <v>43925</v>
      </c>
      <c r="G23" s="36">
        <v>43958</v>
      </c>
      <c r="I23" s="32">
        <v>50</v>
      </c>
      <c r="J23" s="32">
        <v>6</v>
      </c>
      <c r="M23" s="33"/>
      <c r="N23" s="33"/>
      <c r="P23" s="4">
        <v>730.71000137329099</v>
      </c>
      <c r="Q23" s="4">
        <v>277.56000671386721</v>
      </c>
      <c r="R23" s="4">
        <v>0</v>
      </c>
    </row>
    <row r="24" spans="1:18" x14ac:dyDescent="0.25">
      <c r="A24" s="8" t="s">
        <v>57</v>
      </c>
      <c r="B24" s="7" t="s">
        <v>165</v>
      </c>
      <c r="C24" s="26">
        <v>0</v>
      </c>
      <c r="D24" s="33" t="str">
        <f t="shared" si="0"/>
        <v>5.3</v>
      </c>
      <c r="E24" s="36">
        <v>43959</v>
      </c>
      <c r="G24" s="36">
        <v>43965</v>
      </c>
      <c r="I24" s="32">
        <v>40</v>
      </c>
      <c r="M24" s="33"/>
      <c r="N24" s="33"/>
      <c r="P24" s="4">
        <v>730.71000137329099</v>
      </c>
      <c r="Q24" s="4">
        <v>330.84000854492189</v>
      </c>
      <c r="R24" s="4">
        <v>0</v>
      </c>
    </row>
    <row r="25" spans="1:18" x14ac:dyDescent="0.25">
      <c r="A25" s="8" t="s">
        <v>127</v>
      </c>
      <c r="B25" s="7" t="s">
        <v>166</v>
      </c>
      <c r="C25" s="26">
        <v>0</v>
      </c>
      <c r="D25" s="33" t="str">
        <f t="shared" si="0"/>
        <v>5.4</v>
      </c>
      <c r="E25" s="36">
        <v>43966</v>
      </c>
      <c r="G25" s="36">
        <v>43970</v>
      </c>
      <c r="I25" s="32">
        <v>15</v>
      </c>
      <c r="M25" s="33"/>
      <c r="N25" s="33"/>
      <c r="P25" s="4">
        <v>730.71000137329099</v>
      </c>
      <c r="Q25" s="4">
        <v>384.12001037597656</v>
      </c>
      <c r="R25" s="4">
        <v>0</v>
      </c>
    </row>
    <row r="26" spans="1:18" x14ac:dyDescent="0.25">
      <c r="A26" s="8" t="s">
        <v>131</v>
      </c>
      <c r="B26" s="7" t="s">
        <v>4</v>
      </c>
      <c r="C26" s="26">
        <v>0</v>
      </c>
      <c r="D26" s="33" t="str">
        <f t="shared" si="0"/>
        <v>6</v>
      </c>
      <c r="E26" s="36">
        <v>43971</v>
      </c>
      <c r="G26" s="36">
        <v>43972</v>
      </c>
      <c r="M26" s="33"/>
      <c r="N26" s="33" t="str">
        <f>"|.\" &amp;D26&amp;" " &amp;B26&amp;"\Teilziele.xlsx|"&amp;"|.\" &amp;D26&amp;" " &amp;B26&amp;"\Teilkosten.xlsx"</f>
        <v>|.\6 Abschluss\Teilziele.xlsx||.\6 Abschluss\Teilkosten.xlsx</v>
      </c>
      <c r="P26" s="4">
        <v>877.60500221252437</v>
      </c>
      <c r="Q26" s="4">
        <v>277.56000671386721</v>
      </c>
      <c r="R26" s="4">
        <v>2</v>
      </c>
    </row>
    <row r="27" spans="1:18" x14ac:dyDescent="0.25">
      <c r="A27" s="8" t="s">
        <v>135</v>
      </c>
      <c r="B27" s="7" t="s">
        <v>13</v>
      </c>
      <c r="C27" s="26">
        <v>0</v>
      </c>
      <c r="D27" s="33" t="str">
        <f t="shared" si="0"/>
        <v>6.1</v>
      </c>
      <c r="E27" s="36">
        <v>43971</v>
      </c>
      <c r="G27" s="36">
        <v>43971</v>
      </c>
      <c r="I27" s="32">
        <v>8</v>
      </c>
      <c r="M27" s="33"/>
      <c r="N27" s="33"/>
      <c r="P27" s="4">
        <v>877.60500221252437</v>
      </c>
      <c r="Q27" s="4">
        <v>224.28000488281251</v>
      </c>
      <c r="R27" s="4">
        <v>0</v>
      </c>
    </row>
    <row r="28" spans="1:18" x14ac:dyDescent="0.25">
      <c r="A28" s="8" t="s">
        <v>138</v>
      </c>
      <c r="B28" s="7" t="s">
        <v>167</v>
      </c>
      <c r="C28" s="26">
        <v>0</v>
      </c>
      <c r="D28" s="33" t="str">
        <f t="shared" si="0"/>
        <v>6.2</v>
      </c>
      <c r="E28" s="36">
        <v>43972</v>
      </c>
      <c r="G28" s="36">
        <v>43972</v>
      </c>
      <c r="I28" s="32">
        <v>4</v>
      </c>
      <c r="M28" s="33"/>
      <c r="N28" s="33"/>
      <c r="P28" s="4">
        <v>877.60500221252437</v>
      </c>
      <c r="Q28" s="4">
        <v>277.56000671386721</v>
      </c>
      <c r="R28" s="4">
        <v>0</v>
      </c>
    </row>
    <row r="29" spans="1:18" x14ac:dyDescent="0.25">
      <c r="D29" s="8"/>
      <c r="M29" s="33"/>
      <c r="N29" s="33"/>
      <c r="P29" s="4">
        <v>0</v>
      </c>
      <c r="Q29" s="4">
        <v>63</v>
      </c>
      <c r="R29" s="4">
        <v>1</v>
      </c>
    </row>
    <row r="36" spans="1:2" x14ac:dyDescent="0.25">
      <c r="A36" s="53" t="s">
        <v>168</v>
      </c>
    </row>
    <row r="38" spans="1:2" x14ac:dyDescent="0.25">
      <c r="A38" s="8">
        <v>1</v>
      </c>
      <c r="B38" s="7" t="s">
        <v>141</v>
      </c>
    </row>
    <row r="39" spans="1:2" x14ac:dyDescent="0.25">
      <c r="A39" s="8" t="s">
        <v>188</v>
      </c>
      <c r="B39" s="7" t="s">
        <v>80</v>
      </c>
    </row>
    <row r="40" spans="1:2" x14ac:dyDescent="0.25">
      <c r="A40" s="8" t="s">
        <v>189</v>
      </c>
      <c r="B40" s="7" t="s">
        <v>152</v>
      </c>
    </row>
    <row r="41" spans="1:2" x14ac:dyDescent="0.25">
      <c r="A41" s="8" t="s">
        <v>191</v>
      </c>
      <c r="B41" s="7" t="s">
        <v>153</v>
      </c>
    </row>
    <row r="42" spans="1:2" x14ac:dyDescent="0.25">
      <c r="A42" s="8" t="s">
        <v>190</v>
      </c>
      <c r="B42" s="7" t="s">
        <v>154</v>
      </c>
    </row>
    <row r="43" spans="1:2" x14ac:dyDescent="0.25">
      <c r="A43" s="8" t="s">
        <v>1</v>
      </c>
      <c r="B43" s="7" t="s">
        <v>88</v>
      </c>
    </row>
    <row r="44" spans="1:2" x14ac:dyDescent="0.25">
      <c r="A44" s="8" t="s">
        <v>2</v>
      </c>
      <c r="B44" s="7" t="s">
        <v>155</v>
      </c>
    </row>
    <row r="45" spans="1:2" x14ac:dyDescent="0.25">
      <c r="A45" s="8" t="s">
        <v>6</v>
      </c>
      <c r="B45" s="7" t="s">
        <v>156</v>
      </c>
    </row>
    <row r="46" spans="1:2" x14ac:dyDescent="0.25">
      <c r="A46" s="8" t="s">
        <v>7</v>
      </c>
      <c r="B46" s="56" t="s">
        <v>192</v>
      </c>
    </row>
    <row r="47" spans="1:2" x14ac:dyDescent="0.25">
      <c r="A47" s="8" t="s">
        <v>3</v>
      </c>
      <c r="B47" s="7" t="s">
        <v>93</v>
      </c>
    </row>
    <row r="48" spans="1:2" x14ac:dyDescent="0.25">
      <c r="A48" s="8" t="s">
        <v>8</v>
      </c>
      <c r="B48" s="7" t="s">
        <v>157</v>
      </c>
    </row>
    <row r="49" spans="1:2" x14ac:dyDescent="0.25">
      <c r="A49" s="8" t="s">
        <v>9</v>
      </c>
      <c r="B49" s="7" t="s">
        <v>158</v>
      </c>
    </row>
    <row r="50" spans="1:2" x14ac:dyDescent="0.25">
      <c r="A50" s="8" t="s">
        <v>10</v>
      </c>
      <c r="B50" s="7" t="s">
        <v>159</v>
      </c>
    </row>
    <row r="51" spans="1:2" x14ac:dyDescent="0.25">
      <c r="A51" s="8" t="s">
        <v>103</v>
      </c>
      <c r="B51" s="7" t="s">
        <v>160</v>
      </c>
    </row>
    <row r="52" spans="1:2" x14ac:dyDescent="0.25">
      <c r="A52" s="8" t="s">
        <v>107</v>
      </c>
      <c r="B52" s="7" t="s">
        <v>161</v>
      </c>
    </row>
    <row r="53" spans="1:2" x14ac:dyDescent="0.25">
      <c r="A53" s="8" t="s">
        <v>112</v>
      </c>
      <c r="B53" s="7" t="s">
        <v>162</v>
      </c>
    </row>
    <row r="54" spans="1:2" x14ac:dyDescent="0.25">
      <c r="A54" s="8" t="s">
        <v>5</v>
      </c>
      <c r="B54" s="7" t="s">
        <v>116</v>
      </c>
    </row>
    <row r="55" spans="1:2" x14ac:dyDescent="0.25">
      <c r="A55" s="8" t="s">
        <v>11</v>
      </c>
      <c r="B55" s="7" t="s">
        <v>163</v>
      </c>
    </row>
    <row r="56" spans="1:2" x14ac:dyDescent="0.25">
      <c r="A56" s="8" t="s">
        <v>12</v>
      </c>
      <c r="B56" s="7" t="s">
        <v>164</v>
      </c>
    </row>
    <row r="57" spans="1:2" x14ac:dyDescent="0.25">
      <c r="A57" s="8" t="s">
        <v>57</v>
      </c>
      <c r="B57" s="7" t="s">
        <v>165</v>
      </c>
    </row>
    <row r="58" spans="1:2" x14ac:dyDescent="0.25">
      <c r="A58" s="8" t="s">
        <v>127</v>
      </c>
      <c r="B58" s="7" t="s">
        <v>166</v>
      </c>
    </row>
    <row r="59" spans="1:2" x14ac:dyDescent="0.25">
      <c r="A59" s="8" t="s">
        <v>131</v>
      </c>
      <c r="B59" s="7" t="s">
        <v>4</v>
      </c>
    </row>
    <row r="60" spans="1:2" x14ac:dyDescent="0.25">
      <c r="A60" s="8" t="s">
        <v>135</v>
      </c>
      <c r="B60" s="7" t="s">
        <v>13</v>
      </c>
    </row>
    <row r="61" spans="1:2" x14ac:dyDescent="0.25">
      <c r="A61" s="8" t="s">
        <v>138</v>
      </c>
      <c r="B61" s="7" t="s">
        <v>167</v>
      </c>
    </row>
    <row r="63" spans="1:2" x14ac:dyDescent="0.25">
      <c r="A63" s="53" t="s">
        <v>195</v>
      </c>
    </row>
    <row r="64" spans="1:2" x14ac:dyDescent="0.25">
      <c r="A64" s="8">
        <v>1</v>
      </c>
      <c r="B64" s="7" t="s">
        <v>169</v>
      </c>
    </row>
    <row r="65" spans="1:2" x14ac:dyDescent="0.25">
      <c r="A65" s="8" t="s">
        <v>188</v>
      </c>
      <c r="B65" s="7" t="s">
        <v>170</v>
      </c>
    </row>
    <row r="66" spans="1:2" x14ac:dyDescent="0.25">
      <c r="A66" s="8" t="s">
        <v>189</v>
      </c>
      <c r="B66" s="7" t="s">
        <v>171</v>
      </c>
    </row>
    <row r="67" spans="1:2" x14ac:dyDescent="0.25">
      <c r="A67" s="8" t="s">
        <v>191</v>
      </c>
      <c r="B67" s="7" t="s">
        <v>153</v>
      </c>
    </row>
    <row r="68" spans="1:2" x14ac:dyDescent="0.25">
      <c r="A68" s="8" t="s">
        <v>190</v>
      </c>
      <c r="B68" s="7" t="s">
        <v>154</v>
      </c>
    </row>
    <row r="69" spans="1:2" x14ac:dyDescent="0.25">
      <c r="A69" s="8" t="s">
        <v>1</v>
      </c>
      <c r="B69" s="7" t="s">
        <v>172</v>
      </c>
    </row>
    <row r="70" spans="1:2" x14ac:dyDescent="0.25">
      <c r="A70" s="8" t="s">
        <v>2</v>
      </c>
      <c r="B70" s="7" t="s">
        <v>155</v>
      </c>
    </row>
    <row r="71" spans="1:2" x14ac:dyDescent="0.25">
      <c r="A71" s="8" t="s">
        <v>6</v>
      </c>
      <c r="B71" s="7" t="s">
        <v>173</v>
      </c>
    </row>
    <row r="72" spans="1:2" x14ac:dyDescent="0.25">
      <c r="A72" s="8" t="s">
        <v>7</v>
      </c>
      <c r="B72" s="7" t="s">
        <v>192</v>
      </c>
    </row>
    <row r="73" spans="1:2" x14ac:dyDescent="0.25">
      <c r="A73" s="8" t="s">
        <v>3</v>
      </c>
      <c r="B73" s="7" t="s">
        <v>174</v>
      </c>
    </row>
    <row r="74" spans="1:2" x14ac:dyDescent="0.25">
      <c r="A74" s="8" t="s">
        <v>8</v>
      </c>
      <c r="B74" s="7" t="s">
        <v>175</v>
      </c>
    </row>
    <row r="75" spans="1:2" x14ac:dyDescent="0.25">
      <c r="A75" s="8" t="s">
        <v>9</v>
      </c>
      <c r="B75" s="7" t="s">
        <v>176</v>
      </c>
    </row>
    <row r="76" spans="1:2" x14ac:dyDescent="0.25">
      <c r="A76" s="8" t="s">
        <v>10</v>
      </c>
      <c r="B76" s="7" t="s">
        <v>177</v>
      </c>
    </row>
    <row r="77" spans="1:2" x14ac:dyDescent="0.25">
      <c r="A77" s="8" t="s">
        <v>103</v>
      </c>
      <c r="B77" s="7" t="s">
        <v>178</v>
      </c>
    </row>
    <row r="78" spans="1:2" x14ac:dyDescent="0.25">
      <c r="A78" s="8" t="s">
        <v>107</v>
      </c>
      <c r="B78" s="7" t="s">
        <v>179</v>
      </c>
    </row>
    <row r="79" spans="1:2" x14ac:dyDescent="0.25">
      <c r="A79" s="8" t="s">
        <v>112</v>
      </c>
      <c r="B79" s="7" t="s">
        <v>180</v>
      </c>
    </row>
    <row r="80" spans="1:2" x14ac:dyDescent="0.25">
      <c r="A80" s="8" t="s">
        <v>5</v>
      </c>
      <c r="B80" s="7" t="s">
        <v>181</v>
      </c>
    </row>
    <row r="81" spans="1:2" x14ac:dyDescent="0.25">
      <c r="A81" s="8" t="s">
        <v>11</v>
      </c>
      <c r="B81" s="7" t="s">
        <v>182</v>
      </c>
    </row>
    <row r="82" spans="1:2" x14ac:dyDescent="0.25">
      <c r="A82" s="8" t="s">
        <v>12</v>
      </c>
      <c r="B82" s="7" t="s">
        <v>183</v>
      </c>
    </row>
    <row r="83" spans="1:2" x14ac:dyDescent="0.25">
      <c r="A83" s="8" t="s">
        <v>57</v>
      </c>
      <c r="B83" s="7" t="s">
        <v>184</v>
      </c>
    </row>
    <row r="84" spans="1:2" x14ac:dyDescent="0.25">
      <c r="A84" s="8" t="s">
        <v>127</v>
      </c>
      <c r="B84" s="7" t="s">
        <v>185</v>
      </c>
    </row>
    <row r="85" spans="1:2" x14ac:dyDescent="0.25">
      <c r="A85" s="8" t="s">
        <v>131</v>
      </c>
      <c r="B85" s="7" t="s">
        <v>186</v>
      </c>
    </row>
    <row r="86" spans="1:2" x14ac:dyDescent="0.25">
      <c r="A86" s="8" t="s">
        <v>135</v>
      </c>
      <c r="B86" s="7" t="s">
        <v>13</v>
      </c>
    </row>
    <row r="87" spans="1:2" x14ac:dyDescent="0.25">
      <c r="A87" s="8" t="s">
        <v>138</v>
      </c>
      <c r="B87" s="7" t="s">
        <v>187</v>
      </c>
    </row>
  </sheetData>
  <autoFilter ref="A4:M35" xr:uid="{00000000-0009-0000-0000-000001000000}">
    <sortState xmlns:xlrd2="http://schemas.microsoft.com/office/spreadsheetml/2017/richdata2" ref="A5:M46">
      <sortCondition ref="A4:A35"/>
    </sortState>
  </autoFilter>
  <sortState xmlns:xlrd2="http://schemas.microsoft.com/office/spreadsheetml/2017/richdata2" ref="A5:Q29">
    <sortCondition ref="A5:A29"/>
  </sortState>
  <mergeCells count="1">
    <mergeCell ref="A2:M2"/>
  </mergeCells>
  <phoneticPr fontId="2" type="noConversion"/>
  <pageMargins left="0.7" right="0.7" top="0.78740157499999996" bottom="0.78740157499999996" header="0.3" footer="0.3"/>
  <pageSetup paperSize="9" orientation="portrait" horizontalDpi="4294967292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L49"/>
  <sheetViews>
    <sheetView zoomScaleNormal="100" workbookViewId="0">
      <selection activeCell="B33" sqref="B33"/>
    </sheetView>
  </sheetViews>
  <sheetFormatPr baseColWidth="10" defaultColWidth="11.5546875" defaultRowHeight="13.2" x14ac:dyDescent="0.3"/>
  <cols>
    <col min="1" max="1" width="25.33203125" style="12" customWidth="1"/>
    <col min="2" max="2" width="23.6640625" style="9" customWidth="1"/>
    <col min="3" max="3" width="11.5546875" style="10"/>
    <col min="4" max="16384" width="11.5546875" style="9"/>
  </cols>
  <sheetData>
    <row r="1" spans="1:12" ht="21" x14ac:dyDescent="0.3">
      <c r="A1" s="15" t="s">
        <v>20</v>
      </c>
    </row>
    <row r="2" spans="1:12" x14ac:dyDescent="0.3">
      <c r="L2" s="9" t="s">
        <v>44</v>
      </c>
    </row>
    <row r="3" spans="1:12" ht="14.4" x14ac:dyDescent="0.3">
      <c r="A3" s="11" t="s">
        <v>32</v>
      </c>
      <c r="L3" s="17" t="s">
        <v>193</v>
      </c>
    </row>
    <row r="4" spans="1:12" x14ac:dyDescent="0.3">
      <c r="B4" s="13"/>
    </row>
    <row r="5" spans="1:12" x14ac:dyDescent="0.3">
      <c r="B5" s="13"/>
      <c r="L5" s="9" t="s">
        <v>45</v>
      </c>
    </row>
    <row r="6" spans="1:12" ht="14.4" x14ac:dyDescent="0.3">
      <c r="B6" s="13"/>
      <c r="L6" s="17" t="s">
        <v>194</v>
      </c>
    </row>
    <row r="7" spans="1:12" x14ac:dyDescent="0.3">
      <c r="B7" s="13"/>
    </row>
    <row r="8" spans="1:12" x14ac:dyDescent="0.3">
      <c r="C8" s="10" t="s">
        <v>26</v>
      </c>
      <c r="D8" s="14">
        <v>2</v>
      </c>
      <c r="E8" s="9" t="s">
        <v>27</v>
      </c>
    </row>
    <row r="9" spans="1:12" x14ac:dyDescent="0.3">
      <c r="C9" s="10" t="s">
        <v>28</v>
      </c>
    </row>
    <row r="13" spans="1:12" x14ac:dyDescent="0.3">
      <c r="D13" s="10" t="s">
        <v>26</v>
      </c>
      <c r="E13" s="14">
        <v>1.2</v>
      </c>
      <c r="F13" s="9" t="s">
        <v>27</v>
      </c>
    </row>
    <row r="14" spans="1:12" x14ac:dyDescent="0.3">
      <c r="D14" s="10" t="s">
        <v>28</v>
      </c>
    </row>
    <row r="17" spans="1:10" x14ac:dyDescent="0.3">
      <c r="H17" s="10" t="s">
        <v>29</v>
      </c>
      <c r="I17" s="14">
        <v>0.6</v>
      </c>
      <c r="J17" s="9" t="s">
        <v>31</v>
      </c>
    </row>
    <row r="18" spans="1:10" x14ac:dyDescent="0.3">
      <c r="A18" s="10" t="s">
        <v>29</v>
      </c>
      <c r="B18" s="14">
        <v>0.65</v>
      </c>
      <c r="C18" s="9" t="s">
        <v>31</v>
      </c>
      <c r="H18" s="10" t="s">
        <v>30</v>
      </c>
    </row>
    <row r="19" spans="1:10" x14ac:dyDescent="0.3">
      <c r="A19" s="10" t="s">
        <v>30</v>
      </c>
      <c r="C19" s="9"/>
    </row>
    <row r="22" spans="1:10" x14ac:dyDescent="0.3">
      <c r="A22" s="9" t="s">
        <v>33</v>
      </c>
      <c r="B22" s="12"/>
      <c r="F22" s="9" t="s">
        <v>37</v>
      </c>
    </row>
    <row r="23" spans="1:10" x14ac:dyDescent="0.3">
      <c r="A23" s="9" t="s">
        <v>34</v>
      </c>
      <c r="B23" s="12"/>
      <c r="F23" s="9" t="s">
        <v>36</v>
      </c>
    </row>
    <row r="24" spans="1:10" x14ac:dyDescent="0.3">
      <c r="A24" s="9"/>
      <c r="B24" s="12"/>
    </row>
    <row r="25" spans="1:10" x14ac:dyDescent="0.3">
      <c r="A25" s="9" t="s">
        <v>35</v>
      </c>
      <c r="B25" s="12"/>
    </row>
    <row r="26" spans="1:10" x14ac:dyDescent="0.3">
      <c r="A26" s="9"/>
      <c r="B26" s="12"/>
      <c r="F26" s="9" t="s">
        <v>40</v>
      </c>
    </row>
    <row r="27" spans="1:10" x14ac:dyDescent="0.3">
      <c r="A27" s="9" t="s">
        <v>43</v>
      </c>
      <c r="F27" s="9" t="s">
        <v>41</v>
      </c>
    </row>
    <row r="28" spans="1:10" x14ac:dyDescent="0.3">
      <c r="A28" s="9" t="s">
        <v>38</v>
      </c>
      <c r="F28" s="9" t="s">
        <v>39</v>
      </c>
    </row>
    <row r="29" spans="1:10" x14ac:dyDescent="0.3">
      <c r="A29" s="9" t="s">
        <v>39</v>
      </c>
    </row>
    <row r="31" spans="1:10" x14ac:dyDescent="0.3">
      <c r="A31" s="12" t="s">
        <v>61</v>
      </c>
    </row>
    <row r="32" spans="1:10" x14ac:dyDescent="0.3">
      <c r="A32" s="12" t="s">
        <v>62</v>
      </c>
      <c r="B32" s="23"/>
      <c r="C32" s="10" t="s">
        <v>63</v>
      </c>
    </row>
    <row r="34" spans="1:5" x14ac:dyDescent="0.3">
      <c r="B34" s="12" t="s">
        <v>72</v>
      </c>
      <c r="E34" s="10" t="s">
        <v>71</v>
      </c>
    </row>
    <row r="35" spans="1:5" ht="28.95" customHeight="1" x14ac:dyDescent="0.3">
      <c r="A35" s="28" t="s">
        <v>76</v>
      </c>
      <c r="B35" s="61" t="s">
        <v>74</v>
      </c>
      <c r="C35" s="62"/>
      <c r="E35" s="20"/>
    </row>
    <row r="36" spans="1:5" x14ac:dyDescent="0.3">
      <c r="A36" s="9"/>
      <c r="B36" s="12"/>
      <c r="E36" s="10"/>
    </row>
    <row r="37" spans="1:5" ht="28.95" customHeight="1" x14ac:dyDescent="0.3">
      <c r="A37" s="28" t="s">
        <v>77</v>
      </c>
      <c r="B37" s="61" t="s">
        <v>75</v>
      </c>
      <c r="C37" s="62"/>
      <c r="E37" s="22"/>
    </row>
    <row r="38" spans="1:5" x14ac:dyDescent="0.3">
      <c r="A38" s="9"/>
      <c r="B38" s="12"/>
      <c r="E38" s="10"/>
    </row>
    <row r="39" spans="1:5" ht="28.95" customHeight="1" x14ac:dyDescent="0.3">
      <c r="A39" s="28" t="s">
        <v>78</v>
      </c>
      <c r="B39" s="61" t="s">
        <v>73</v>
      </c>
      <c r="C39" s="62"/>
      <c r="E39" s="21"/>
    </row>
    <row r="43" spans="1:5" x14ac:dyDescent="0.3">
      <c r="A43" s="12" t="s">
        <v>196</v>
      </c>
      <c r="B43" s="63" t="s">
        <v>204</v>
      </c>
      <c r="C43" s="63"/>
      <c r="D43" s="63"/>
      <c r="E43" s="63"/>
    </row>
    <row r="44" spans="1:5" x14ac:dyDescent="0.3">
      <c r="A44" s="12" t="s">
        <v>197</v>
      </c>
    </row>
    <row r="46" spans="1:5" x14ac:dyDescent="0.3">
      <c r="A46" s="12" t="s">
        <v>199</v>
      </c>
      <c r="B46" s="23"/>
      <c r="C46" s="10" t="s">
        <v>63</v>
      </c>
    </row>
    <row r="47" spans="1:5" x14ac:dyDescent="0.3">
      <c r="A47" s="12" t="s">
        <v>200</v>
      </c>
    </row>
    <row r="48" spans="1:5" x14ac:dyDescent="0.3">
      <c r="A48" s="12" t="s">
        <v>201</v>
      </c>
    </row>
    <row r="49" spans="1:1" x14ac:dyDescent="0.3">
      <c r="A49" s="12" t="s">
        <v>202</v>
      </c>
    </row>
  </sheetData>
  <mergeCells count="4">
    <mergeCell ref="B35:C35"/>
    <mergeCell ref="B37:C37"/>
    <mergeCell ref="B39:C39"/>
    <mergeCell ref="B43:E43"/>
  </mergeCells>
  <hyperlinks>
    <hyperlink ref="L3" r:id="rId1" xr:uid="{00000000-0004-0000-0200-000000000000}"/>
    <hyperlink ref="L6" r:id="rId2" xr:uid="{00000000-0004-0000-0200-000001000000}"/>
  </hyperlinks>
  <pageMargins left="0.7" right="0.7" top="0.78740157499999996" bottom="0.78740157499999996" header="0.3" footer="0.3"/>
  <pageSetup paperSize="9" orientation="portrait" horizontalDpi="4294967292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52F31-405C-49B5-90C2-5DB6F629BF08}">
  <sheetPr codeName="Tabelle4"/>
  <dimension ref="A1"/>
  <sheetViews>
    <sheetView showGridLines="0" tabSelected="1" zoomScale="80" zoomScaleNormal="80" workbookViewId="0"/>
  </sheetViews>
  <sheetFormatPr baseColWidth="10" defaultRowHeight="14.4" x14ac:dyDescent="0.3"/>
  <sheetData>
    <row r="1" spans="1:1" ht="21" x14ac:dyDescent="0.3">
      <c r="A1" s="27" t="s">
        <v>70</v>
      </c>
    </row>
  </sheetData>
  <pageMargins left="0.7" right="0.7" top="0.78740157499999996" bottom="0.78740157499999996" header="0.3" footer="0.3"/>
  <pageSetup paperSize="9" orientation="landscape" r:id="rId1"/>
  <drawing r:id="rId2"/>
</worksheet>
</file>

<file path=customUI/_rels/customUI14.xml.rels><?xml version="1.0" encoding="UTF-8" standalone="yes"?>
<Relationships xmlns="http://schemas.openxmlformats.org/package/2006/relationships"><Relationship Id="InsertWBS" Type="http://schemas.openxmlformats.org/officeDocument/2006/relationships/image" Target="images/InsertWBS.png"/><Relationship Id="RemoveWBS" Type="http://schemas.openxmlformats.org/officeDocument/2006/relationships/image" Target="images/RemoveWBS.png"/></Relationships>
</file>

<file path=customUI/customUI14.xml><?xml version="1.0" encoding="utf-8"?>
<customUI xmlns="http://schemas.microsoft.com/office/2009/07/customui">
  <ribbon>
    <tabs>
      <tab id="customTabWBS" label="WBS">
        <group id="customGroup" label="Work Breakdown Structure">
          <button id="customButtonInsertWBS" label="Insert WBS" size="large" onAction="onRibbonInsertWBS" image="InsertWBS"/>
          <button id="customButtonRemoveWBS" label="Remove WBS" size="large" onAction="onRibbonRemoveWBS" image="RemoveWBS"/>
          <separator id="sep1"/>
          <button id="customButtonGroupWBS" label="Group WBS" size="large" onAction="onRibbonGroupWBS" imageMso="ContentControlsGroup"/>
          <button id="customButtonUngroupWBS" label="Ungroup WBS" size="large" onAction="onRibbonUngroupWBS" imageMso="ContentControlsUngrou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13</vt:i4>
      </vt:variant>
    </vt:vector>
  </HeadingPairs>
  <TitlesOfParts>
    <vt:vector size="17" baseType="lpstr">
      <vt:lpstr>Import</vt:lpstr>
      <vt:lpstr>Start</vt:lpstr>
      <vt:lpstr>Setup</vt:lpstr>
      <vt:lpstr>PSP</vt:lpstr>
      <vt:lpstr>ALWAYS_SHOW_DOCUMENTS_DIALOG</vt:lpstr>
      <vt:lpstr>FORMAT_COMPLETED</vt:lpstr>
      <vt:lpstr>FORMAT_IN_PROGRESS</vt:lpstr>
      <vt:lpstr>FORMAT_NOT_STARTED</vt:lpstr>
      <vt:lpstr>LEVEL0_SPACE_Y</vt:lpstr>
      <vt:lpstr>LEVEL1_SPACE_X</vt:lpstr>
      <vt:lpstr>LEVEL3_SPACE_X</vt:lpstr>
      <vt:lpstr>LEVEL3_SPACE_Y</vt:lpstr>
      <vt:lpstr>PATH_DOCUMENTS</vt:lpstr>
      <vt:lpstr>PROGRESS_COLORS</vt:lpstr>
      <vt:lpstr>PROGRESS_COMPLETED</vt:lpstr>
      <vt:lpstr>PROGRESS_IN_PROGRESS</vt:lpstr>
      <vt:lpstr>PROGRESS_NOT_STARTED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Angielsky</dc:creator>
  <cp:lastModifiedBy>Thomas Angielsky</cp:lastModifiedBy>
  <cp:lastPrinted>2021-08-22T15:54:04Z</cp:lastPrinted>
  <dcterms:created xsi:type="dcterms:W3CDTF">2019-12-08T11:23:10Z</dcterms:created>
  <dcterms:modified xsi:type="dcterms:W3CDTF">2022-02-05T17:39:27Z</dcterms:modified>
</cp:coreProperties>
</file>